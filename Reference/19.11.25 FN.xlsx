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2760" yWindow="32760" windowWidth="19440" windowHeight="7185" tabRatio="682"/>
  </bookViews>
  <sheets>
    <sheet name="SEATING " sheetId="13" r:id="rId1"/>
    <sheet name="HALL ALLO" sheetId="15" r:id="rId2"/>
    <sheet name="NB" sheetId="4" r:id="rId3"/>
    <sheet name="aud seating" sheetId="10" r:id="rId4"/>
    <sheet name="Sheet1" sheetId="16" r:id="rId5"/>
  </sheets>
  <definedNames>
    <definedName name="_xlnm.Print_Area" localSheetId="3">'aud seating'!$A$1:$F$68</definedName>
    <definedName name="_xlnm.Print_Area" localSheetId="2">NB!$A$1:$D$61</definedName>
    <definedName name="_xlnm.Print_Area" localSheetId="0">'SEATING '!$A$1:$J$200</definedName>
  </definedNames>
  <calcPr calcId="124519"/>
</workbook>
</file>

<file path=xl/calcChain.xml><?xml version="1.0" encoding="utf-8"?>
<calcChain xmlns="http://schemas.openxmlformats.org/spreadsheetml/2006/main">
  <c r="A7" i="13"/>
  <c r="A6"/>
  <c r="A48"/>
  <c r="A194"/>
  <c r="C110"/>
  <c r="A193"/>
  <c r="A195" s="1"/>
  <c r="G134"/>
  <c r="A109"/>
  <c r="A108"/>
  <c r="A110" s="1"/>
  <c r="C109" s="1"/>
  <c r="A97"/>
  <c r="C98" s="1"/>
  <c r="A96"/>
  <c r="A98" s="1"/>
  <c r="C97" s="1"/>
  <c r="C95" s="1"/>
  <c r="E94" s="1"/>
  <c r="E96" s="1"/>
  <c r="E98" s="1"/>
  <c r="G97" s="1"/>
  <c r="G95" s="1"/>
  <c r="I94" s="1"/>
  <c r="I96" s="1"/>
  <c r="I98" s="1"/>
  <c r="A136"/>
  <c r="C137" s="1"/>
  <c r="C135" s="1"/>
  <c r="C133" s="1"/>
  <c r="E134" s="1"/>
  <c r="E136" s="1"/>
  <c r="G137" s="1"/>
  <c r="G135" s="1"/>
  <c r="G133" s="1"/>
  <c r="I134" s="1"/>
  <c r="I136" s="1"/>
  <c r="A135"/>
  <c r="A137" s="1"/>
  <c r="C136" s="1"/>
  <c r="C134" s="1"/>
  <c r="E133" s="1"/>
  <c r="E135" s="1"/>
  <c r="E137" s="1"/>
  <c r="C96" l="1"/>
  <c r="C94" s="1"/>
  <c r="E95" s="1"/>
  <c r="E97" s="1"/>
  <c r="G98" s="1"/>
  <c r="G96" s="1"/>
  <c r="G94" s="1"/>
  <c r="I95" s="1"/>
  <c r="I97" s="1"/>
  <c r="C108"/>
  <c r="I133"/>
  <c r="I135" s="1"/>
  <c r="I137" s="1"/>
  <c r="C107"/>
  <c r="E106" s="1"/>
  <c r="E108" s="1"/>
  <c r="E110" s="1"/>
  <c r="G109" s="1"/>
  <c r="G107" s="1"/>
  <c r="I106" s="1"/>
  <c r="I108" s="1"/>
  <c r="I110" s="1"/>
  <c r="J20" i="16"/>
  <c r="J21"/>
  <c r="J22"/>
  <c r="B5"/>
  <c r="C5"/>
  <c r="D5"/>
  <c r="E5"/>
  <c r="F5"/>
  <c r="G5"/>
  <c r="H5"/>
  <c r="I5"/>
  <c r="A59" i="10"/>
  <c r="A61" s="1"/>
  <c r="A63" s="1"/>
  <c r="C62" s="1"/>
  <c r="C60" s="1"/>
  <c r="C58" s="1"/>
  <c r="C56" s="1"/>
  <c r="E57" s="1"/>
  <c r="E59" s="1"/>
  <c r="E61" s="1"/>
  <c r="A58"/>
  <c r="A60" s="1"/>
  <c r="A62" s="1"/>
  <c r="C63" s="1"/>
  <c r="C61" s="1"/>
  <c r="C59" s="1"/>
  <c r="C57" s="1"/>
  <c r="E56" s="1"/>
  <c r="E58" s="1"/>
  <c r="E60" s="1"/>
  <c r="E62" s="1"/>
  <c r="A57"/>
  <c r="A41"/>
  <c r="A43" s="1"/>
  <c r="A45" s="1"/>
  <c r="C46" s="1"/>
  <c r="C44" s="1"/>
  <c r="C42" s="1"/>
  <c r="C40" s="1"/>
  <c r="E39" s="1"/>
  <c r="E41" s="1"/>
  <c r="E43" s="1"/>
  <c r="E45" s="1"/>
  <c r="E47" s="1"/>
  <c r="A40"/>
  <c r="A42" s="1"/>
  <c r="A44" s="1"/>
  <c r="A46" s="1"/>
  <c r="C45" s="1"/>
  <c r="C43" s="1"/>
  <c r="C41" s="1"/>
  <c r="C39" s="1"/>
  <c r="E40" s="1"/>
  <c r="E42" s="1"/>
  <c r="E44" s="1"/>
  <c r="E46" s="1"/>
  <c r="A26"/>
  <c r="A28" s="1"/>
  <c r="C29" s="1"/>
  <c r="C27" s="1"/>
  <c r="C25" s="1"/>
  <c r="C23" s="1"/>
  <c r="E22" s="1"/>
  <c r="E24" s="1"/>
  <c r="E26" s="1"/>
  <c r="E28" s="1"/>
  <c r="E30" s="1"/>
  <c r="A25"/>
  <c r="A27" s="1"/>
  <c r="A29" s="1"/>
  <c r="C28" s="1"/>
  <c r="C26" s="1"/>
  <c r="C24" s="1"/>
  <c r="C22" s="1"/>
  <c r="E23" s="1"/>
  <c r="E25" s="1"/>
  <c r="E27" s="1"/>
  <c r="E29" s="1"/>
  <c r="A24"/>
  <c r="A23"/>
  <c r="J17" i="16"/>
  <c r="J18"/>
  <c r="J19"/>
  <c r="C106" i="13" l="1"/>
  <c r="E107" s="1"/>
  <c r="E109" s="1"/>
  <c r="G110" s="1"/>
  <c r="G108" s="1"/>
  <c r="G106" s="1"/>
  <c r="I107" s="1"/>
  <c r="I109" s="1"/>
  <c r="J7" i="16"/>
  <c r="J8"/>
  <c r="J9"/>
  <c r="J10"/>
  <c r="J11"/>
  <c r="J12"/>
  <c r="J13"/>
  <c r="J14"/>
  <c r="J15"/>
  <c r="J16"/>
  <c r="J6"/>
  <c r="A35" i="10"/>
  <c r="A52" s="1"/>
  <c r="J1" i="16"/>
  <c r="J5" l="1"/>
  <c r="C193" i="13"/>
  <c r="C191" s="1"/>
  <c r="E192" s="1"/>
  <c r="E194" s="1"/>
  <c r="G195" s="1"/>
  <c r="G193" s="1"/>
  <c r="C194"/>
  <c r="E191" s="1"/>
  <c r="E193" s="1"/>
  <c r="E195" s="1"/>
  <c r="I191" s="1"/>
  <c r="I193" s="1"/>
  <c r="I195" s="1"/>
  <c r="C49"/>
  <c r="C47" s="1"/>
  <c r="C45" s="1"/>
  <c r="E46" s="1"/>
  <c r="E48" s="1"/>
  <c r="G49" s="1"/>
  <c r="G47" s="1"/>
  <c r="A47"/>
  <c r="A49" s="1"/>
  <c r="C48" s="1"/>
  <c r="C46" s="1"/>
  <c r="E45" s="1"/>
  <c r="A36"/>
  <c r="C37" s="1"/>
  <c r="C35" s="1"/>
  <c r="C33" s="1"/>
  <c r="E34" s="1"/>
  <c r="E36" s="1"/>
  <c r="G37" s="1"/>
  <c r="G35" s="1"/>
  <c r="G33" s="1"/>
  <c r="I34" s="1"/>
  <c r="I36" s="1"/>
  <c r="A35"/>
  <c r="A37" s="1"/>
  <c r="C36" s="1"/>
  <c r="C34" s="1"/>
  <c r="A18"/>
  <c r="A20" s="1"/>
  <c r="G19" s="1"/>
  <c r="C8"/>
  <c r="C6" s="1"/>
  <c r="E5" s="1"/>
  <c r="E7" s="1"/>
  <c r="G8" s="1"/>
  <c r="G6" s="1"/>
  <c r="A8"/>
  <c r="C7" s="1"/>
  <c r="A7" i="10"/>
  <c r="A9" s="1"/>
  <c r="A11" s="1"/>
  <c r="C12" s="1"/>
  <c r="C10" s="1"/>
  <c r="C8" s="1"/>
  <c r="C6" s="1"/>
  <c r="E5" s="1"/>
  <c r="E7" s="1"/>
  <c r="E9" s="1"/>
  <c r="E11" s="1"/>
  <c r="E13" s="1"/>
  <c r="A6"/>
  <c r="A8" s="1"/>
  <c r="A10" s="1"/>
  <c r="A12" s="1"/>
  <c r="C11" s="1"/>
  <c r="C9" s="1"/>
  <c r="C7" s="1"/>
  <c r="C5" s="1"/>
  <c r="E6" s="1"/>
  <c r="E8" s="1"/>
  <c r="E10" s="1"/>
  <c r="E12" s="1"/>
  <c r="C181" i="13"/>
  <c r="C169"/>
  <c r="C156"/>
  <c r="C144"/>
  <c r="C116"/>
  <c r="C104"/>
  <c r="C92"/>
  <c r="C80"/>
  <c r="C68"/>
  <c r="C55"/>
  <c r="C43"/>
  <c r="C31"/>
  <c r="C14"/>
  <c r="A187"/>
  <c r="C188" s="1"/>
  <c r="C186" s="1"/>
  <c r="C184" s="1"/>
  <c r="E185" s="1"/>
  <c r="E187" s="1"/>
  <c r="G188" s="1"/>
  <c r="G186" s="1"/>
  <c r="G184" s="1"/>
  <c r="I185" s="1"/>
  <c r="I187" s="1"/>
  <c r="A186"/>
  <c r="A188" s="1"/>
  <c r="C187" s="1"/>
  <c r="A73"/>
  <c r="C74" s="1"/>
  <c r="C72" s="1"/>
  <c r="C70" s="1"/>
  <c r="E71" s="1"/>
  <c r="E73" s="1"/>
  <c r="G74" s="1"/>
  <c r="G72" s="1"/>
  <c r="I71" s="1"/>
  <c r="I73" s="1"/>
  <c r="A72"/>
  <c r="A74" s="1"/>
  <c r="C73" s="1"/>
  <c r="C71" s="1"/>
  <c r="E70" s="1"/>
  <c r="E72" s="1"/>
  <c r="E74" s="1"/>
  <c r="G73" s="1"/>
  <c r="G71" s="1"/>
  <c r="I70" s="1"/>
  <c r="I72" s="1"/>
  <c r="I74" s="1"/>
  <c r="A60"/>
  <c r="C61" s="1"/>
  <c r="C59" s="1"/>
  <c r="C57" s="1"/>
  <c r="E58" s="1"/>
  <c r="E60" s="1"/>
  <c r="G61" s="1"/>
  <c r="G59" s="1"/>
  <c r="G57" s="1"/>
  <c r="I58" s="1"/>
  <c r="I60" s="1"/>
  <c r="A59"/>
  <c r="A61" s="1"/>
  <c r="A180"/>
  <c r="A168"/>
  <c r="A155"/>
  <c r="A143"/>
  <c r="A115"/>
  <c r="A103"/>
  <c r="A91"/>
  <c r="A79"/>
  <c r="A67"/>
  <c r="A54"/>
  <c r="A42"/>
  <c r="A30"/>
  <c r="A13"/>
  <c r="A7" i="15"/>
  <c r="A10" s="1"/>
  <c r="A174" i="13"/>
  <c r="A173"/>
  <c r="A175" s="1"/>
  <c r="C174" s="1"/>
  <c r="C172" s="1"/>
  <c r="E171" s="1"/>
  <c r="E173" s="1"/>
  <c r="A161"/>
  <c r="C162" s="1"/>
  <c r="C160" s="1"/>
  <c r="C158" s="1"/>
  <c r="E159" s="1"/>
  <c r="E161" s="1"/>
  <c r="G162" s="1"/>
  <c r="G160" s="1"/>
  <c r="G158" s="1"/>
  <c r="I159" s="1"/>
  <c r="I161" s="1"/>
  <c r="A160"/>
  <c r="A149"/>
  <c r="C150" s="1"/>
  <c r="A148"/>
  <c r="A150" s="1"/>
  <c r="C149" s="1"/>
  <c r="C147" s="1"/>
  <c r="E146" s="1"/>
  <c r="E148" s="1"/>
  <c r="E150" s="1"/>
  <c r="G149" s="1"/>
  <c r="G147" s="1"/>
  <c r="I146" s="1"/>
  <c r="I148" s="1"/>
  <c r="I150" s="1"/>
  <c r="A129"/>
  <c r="C130" s="1"/>
  <c r="C128" s="1"/>
  <c r="C126" s="1"/>
  <c r="E127" s="1"/>
  <c r="E129" s="1"/>
  <c r="A128"/>
  <c r="A130" s="1"/>
  <c r="C129" s="1"/>
  <c r="C127" s="1"/>
  <c r="E126" s="1"/>
  <c r="E128" s="1"/>
  <c r="E130" s="1"/>
  <c r="G129" s="1"/>
  <c r="C123"/>
  <c r="C121" s="1"/>
  <c r="C119" s="1"/>
  <c r="E120" s="1"/>
  <c r="A121"/>
  <c r="A123" s="1"/>
  <c r="C122" s="1"/>
  <c r="C120" s="1"/>
  <c r="E119" s="1"/>
  <c r="E121" s="1"/>
  <c r="A85"/>
  <c r="C86" s="1"/>
  <c r="C84" s="1"/>
  <c r="C82" s="1"/>
  <c r="A84"/>
  <c r="C59" i="4"/>
  <c r="C50"/>
  <c r="C42"/>
  <c r="C35"/>
  <c r="C29"/>
  <c r="C21"/>
  <c r="C14"/>
  <c r="C6"/>
  <c r="E122" i="13" l="1"/>
  <c r="G123" s="1"/>
  <c r="G121" s="1"/>
  <c r="G119" s="1"/>
  <c r="I120" s="1"/>
  <c r="I122" s="1"/>
  <c r="C171"/>
  <c r="E172" s="1"/>
  <c r="E174" s="1"/>
  <c r="G175" s="1"/>
  <c r="C175"/>
  <c r="C173" s="1"/>
  <c r="E83"/>
  <c r="E85" s="1"/>
  <c r="G86" s="1"/>
  <c r="G84" s="1"/>
  <c r="G82" s="1"/>
  <c r="I83" s="1"/>
  <c r="I85" s="1"/>
  <c r="I126"/>
  <c r="I128" s="1"/>
  <c r="I130" s="1"/>
  <c r="G127"/>
  <c r="A162"/>
  <c r="C161" s="1"/>
  <c r="C159" s="1"/>
  <c r="E158" s="1"/>
  <c r="E160" s="1"/>
  <c r="E162" s="1"/>
  <c r="G161" s="1"/>
  <c r="G159" s="1"/>
  <c r="I158" s="1"/>
  <c r="I160" s="1"/>
  <c r="I162" s="1"/>
  <c r="E49"/>
  <c r="G48" s="1"/>
  <c r="G46" s="1"/>
  <c r="I45" s="1"/>
  <c r="I47" s="1"/>
  <c r="I49" s="1"/>
  <c r="E47"/>
  <c r="C148"/>
  <c r="C146" s="1"/>
  <c r="E147" s="1"/>
  <c r="E149" s="1"/>
  <c r="G150" s="1"/>
  <c r="G148" s="1"/>
  <c r="G146" s="1"/>
  <c r="I147" s="1"/>
  <c r="I149" s="1"/>
  <c r="G122"/>
  <c r="G120" s="1"/>
  <c r="I119" s="1"/>
  <c r="I121" s="1"/>
  <c r="I123" s="1"/>
  <c r="E123"/>
  <c r="E175"/>
  <c r="G174" s="1"/>
  <c r="G172" s="1"/>
  <c r="I171" s="1"/>
  <c r="I173" s="1"/>
  <c r="I175" s="1"/>
  <c r="C58"/>
  <c r="C60"/>
  <c r="E33"/>
  <c r="E35" s="1"/>
  <c r="E37" s="1"/>
  <c r="G36" s="1"/>
  <c r="G34" s="1"/>
  <c r="I33" s="1"/>
  <c r="I35" s="1"/>
  <c r="I37" s="1"/>
  <c r="G128"/>
  <c r="G126" s="1"/>
  <c r="I127" s="1"/>
  <c r="I129" s="1"/>
  <c r="G130"/>
  <c r="G45"/>
  <c r="I46" s="1"/>
  <c r="I48" s="1"/>
  <c r="E4"/>
  <c r="E6" s="1"/>
  <c r="E8" s="1"/>
  <c r="G7" s="1"/>
  <c r="G5" s="1"/>
  <c r="I4" s="1"/>
  <c r="I6" s="1"/>
  <c r="C185"/>
  <c r="E184" s="1"/>
  <c r="E186" s="1"/>
  <c r="E188" s="1"/>
  <c r="G187" s="1"/>
  <c r="G185" s="1"/>
  <c r="I184" s="1"/>
  <c r="I186" s="1"/>
  <c r="A86"/>
  <c r="C85" s="1"/>
  <c r="C83" s="1"/>
  <c r="E82" s="1"/>
  <c r="E84" s="1"/>
  <c r="E86" s="1"/>
  <c r="G85" s="1"/>
  <c r="G83" s="1"/>
  <c r="I82" s="1"/>
  <c r="A13" i="15"/>
  <c r="A16" s="1"/>
  <c r="A19" s="1"/>
  <c r="A22" s="1"/>
  <c r="A25" s="1"/>
  <c r="A28" s="1"/>
  <c r="A31" s="1"/>
  <c r="A34" s="1"/>
  <c r="A37" s="1"/>
  <c r="A40" s="1"/>
  <c r="A43" s="1"/>
  <c r="C19" i="10"/>
  <c r="C36"/>
  <c r="C53"/>
  <c r="E57" i="13" l="1"/>
  <c r="E59" s="1"/>
  <c r="E61" s="1"/>
  <c r="G60" s="1"/>
  <c r="G58" s="1"/>
  <c r="I57" s="1"/>
  <c r="I59" s="1"/>
  <c r="I61" s="1"/>
  <c r="G171"/>
  <c r="I172" s="1"/>
  <c r="I174" s="1"/>
  <c r="G173"/>
  <c r="I84"/>
  <c r="I86" s="1"/>
</calcChain>
</file>

<file path=xl/sharedStrings.xml><?xml version="1.0" encoding="utf-8"?>
<sst xmlns="http://schemas.openxmlformats.org/spreadsheetml/2006/main" count="434" uniqueCount="180">
  <si>
    <t xml:space="preserve">REGISTER NUMBERS </t>
  </si>
  <si>
    <t>HALL</t>
  </si>
  <si>
    <t>TOTAL</t>
  </si>
  <si>
    <t xml:space="preserve">TOTAL : </t>
  </si>
  <si>
    <t>DEPT</t>
  </si>
  <si>
    <t>SUBJECT</t>
  </si>
  <si>
    <t>TOTAL:</t>
  </si>
  <si>
    <t>I - 1</t>
  </si>
  <si>
    <t>I - 2</t>
  </si>
  <si>
    <t>I - 5</t>
  </si>
  <si>
    <t>I - 6</t>
  </si>
  <si>
    <t>I - 7</t>
  </si>
  <si>
    <t>A - 3</t>
  </si>
  <si>
    <t>HALL NO : I-5</t>
  </si>
  <si>
    <t>HALL NO : I-6</t>
  </si>
  <si>
    <t>HALL NO : I-7</t>
  </si>
  <si>
    <t>HALL NO : I-8</t>
  </si>
  <si>
    <t>HALL NO : AH</t>
  </si>
  <si>
    <t>HALL NO : M-2</t>
  </si>
  <si>
    <t>HALL NO : M-3</t>
  </si>
  <si>
    <t>HALL NO : M-6</t>
  </si>
  <si>
    <t>I - 8</t>
  </si>
  <si>
    <t>AH</t>
  </si>
  <si>
    <t>HALL NO : AUD 1</t>
  </si>
  <si>
    <t>XXX</t>
  </si>
  <si>
    <t>HALL NO : AUD 2</t>
  </si>
  <si>
    <t>HALL NO : AUD 3</t>
  </si>
  <si>
    <t>HALL NO : AUD 4</t>
  </si>
  <si>
    <t>I - ROW with Seat No</t>
  </si>
  <si>
    <t>II - ROW with Seat No</t>
  </si>
  <si>
    <t>III - ROW with Seat No</t>
  </si>
  <si>
    <t>IV - ROW with Seat No</t>
  </si>
  <si>
    <t>V - ROW with Seat No</t>
  </si>
  <si>
    <t>T6-A (First 5 rows)</t>
  </si>
  <si>
    <t>T6-B (Last 5 rows)</t>
  </si>
  <si>
    <t>AH-1 (First 5 rows)</t>
  </si>
  <si>
    <t>AH-2 (Middle 5 rows)</t>
  </si>
  <si>
    <t>AH-3 (Last 5 rows)</t>
  </si>
  <si>
    <t>M - 2</t>
  </si>
  <si>
    <t>M - 3</t>
  </si>
  <si>
    <t>M - 7</t>
  </si>
  <si>
    <t>A - 1</t>
  </si>
  <si>
    <t>T-6</t>
  </si>
  <si>
    <t>HALL NO : T-1</t>
  </si>
  <si>
    <t>HALL NO : T-2</t>
  </si>
  <si>
    <t>HALL NO : T-3</t>
  </si>
  <si>
    <t>HALL NO : T-6</t>
  </si>
  <si>
    <t xml:space="preserve"> M - 6</t>
  </si>
  <si>
    <t>A - 4</t>
  </si>
  <si>
    <t>I-5</t>
  </si>
  <si>
    <t>I-6</t>
  </si>
  <si>
    <t>I-7</t>
  </si>
  <si>
    <t>I-8</t>
  </si>
  <si>
    <t>T-2</t>
  </si>
  <si>
    <t>T-3</t>
  </si>
  <si>
    <t>HALL NO : I-1</t>
  </si>
  <si>
    <t>HALL NO : I-2</t>
  </si>
  <si>
    <t>I-1</t>
  </si>
  <si>
    <t>I-2</t>
  </si>
  <si>
    <t>M-2</t>
  </si>
  <si>
    <t>M-3</t>
  </si>
  <si>
    <t>M-6</t>
  </si>
  <si>
    <t>T-1</t>
  </si>
  <si>
    <t>HALL ALLOCATION</t>
  </si>
  <si>
    <t>Balance</t>
  </si>
  <si>
    <t>Total</t>
  </si>
  <si>
    <t>T 1</t>
  </si>
  <si>
    <t>T 2</t>
  </si>
  <si>
    <t>T 3</t>
  </si>
  <si>
    <t>T 6 A</t>
  </si>
  <si>
    <t>T 6 B</t>
  </si>
  <si>
    <t>T 6 A &amp; B</t>
  </si>
  <si>
    <t>AUD 1</t>
  </si>
  <si>
    <t>AUD 2</t>
  </si>
  <si>
    <t>AUD 3</t>
  </si>
  <si>
    <t>AUD 4</t>
  </si>
  <si>
    <t>EEE1</t>
  </si>
  <si>
    <t>EEE2</t>
  </si>
  <si>
    <t>EEE3</t>
  </si>
  <si>
    <t>GCE : : ERODE - 638 316 - ANNA UNIVERSITY EXAMS - 
HALL  SKETCH - NOV/DEC 2025</t>
  </si>
  <si>
    <t>Date &amp; Session :  19.11.2025 FN</t>
  </si>
  <si>
    <t>GCE : : ERODE - ANNA UNIVERSITY EXAMS - NOV/DEC 2025</t>
  </si>
  <si>
    <t>AH1</t>
  </si>
  <si>
    <t>AH2</t>
  </si>
  <si>
    <t>AH3</t>
  </si>
  <si>
    <t>GCE : : ERODE - 638 316 - ANNA UNIVERSITY EXAMS - HALL  SKETCH - NOV/DEC 2025</t>
  </si>
  <si>
    <t>AH 1</t>
  </si>
  <si>
    <t>AH 2</t>
  </si>
  <si>
    <t>AH 3</t>
  </si>
  <si>
    <t>GE3791</t>
  </si>
  <si>
    <t>HVE</t>
  </si>
  <si>
    <t>7 AUTO</t>
  </si>
  <si>
    <t xml:space="preserve">7 CIVIL </t>
  </si>
  <si>
    <t>7 CSE</t>
  </si>
  <si>
    <t>7 EEE</t>
  </si>
  <si>
    <t>7 ECE</t>
  </si>
  <si>
    <t>7 MECH</t>
  </si>
  <si>
    <t>7 IT</t>
  </si>
  <si>
    <t>CS8492</t>
  </si>
  <si>
    <t>DMS</t>
  </si>
  <si>
    <t>19.11.25 FN</t>
  </si>
  <si>
    <t xml:space="preserve">7 AUTO </t>
  </si>
  <si>
    <t>731122102001 TO 731122102015</t>
  </si>
  <si>
    <t>731122102016 TO 731122102028</t>
  </si>
  <si>
    <t>731122102029 TO 731122102042</t>
  </si>
  <si>
    <t>731122102043, 731122102303 TO 731122102315</t>
  </si>
  <si>
    <t>731122102316 TO 731122102318, 731122102501, 731121102024</t>
  </si>
  <si>
    <t>DEPARTMENT / SEMESTER  :    7 AUTO</t>
  </si>
  <si>
    <t xml:space="preserve">731122102001 TO 731122102015       </t>
  </si>
  <si>
    <t xml:space="preserve">731122102016 TO 731122102028       </t>
  </si>
  <si>
    <t xml:space="preserve">731122102029 TO 731122102042       </t>
  </si>
  <si>
    <t xml:space="preserve">731122102043, 731122102303 TO 731122102315       </t>
  </si>
  <si>
    <t>7 CIVIL</t>
  </si>
  <si>
    <t>731122103001 TO 731122103014</t>
  </si>
  <si>
    <t>731122103015 TO 731122103027</t>
  </si>
  <si>
    <t>731122103028 TO 731122103049, 731122103301 TO 731122103306</t>
  </si>
  <si>
    <t>731122103307, 731122103701</t>
  </si>
  <si>
    <t>DEPARTMENT / SEMESTER  :    7 CIVIL</t>
  </si>
  <si>
    <t xml:space="preserve">731122103001 TO 731122103014       </t>
  </si>
  <si>
    <t xml:space="preserve">731122103015 TO 731122103027       </t>
  </si>
  <si>
    <t xml:space="preserve">731122103028 TO 731122103049, 731122103301 TO 731122103306       </t>
  </si>
  <si>
    <t xml:space="preserve">731122103307, 731122103701       </t>
  </si>
  <si>
    <t>AH2 , AH 3</t>
  </si>
  <si>
    <t>DATE &amp; SESSION  :  19.11.25 FN</t>
  </si>
  <si>
    <t>731122104001 TO 731122104013</t>
  </si>
  <si>
    <t>731122104014 TO 731122104025</t>
  </si>
  <si>
    <t>731122104026 TO 731122104039</t>
  </si>
  <si>
    <t>731122104040 TO 731122104057, 731122104301 TO 731122104304, 731122104401, 731122104701 TO 731122104704</t>
  </si>
  <si>
    <t>731122105002 TO 731122105015</t>
  </si>
  <si>
    <t>731122105016 TO 731122105056</t>
  </si>
  <si>
    <t>731122105301 TO 731122105304, 731122105502</t>
  </si>
  <si>
    <t xml:space="preserve">DEPARTMENT / SEMESTER  :  7 CSE  </t>
  </si>
  <si>
    <t>DEPARTMENT / SEMESTER  :    7 EEE</t>
  </si>
  <si>
    <t xml:space="preserve">731122105002 TO 731122105015       </t>
  </si>
  <si>
    <t xml:space="preserve">731122105016 TO 731122105056       </t>
  </si>
  <si>
    <t xml:space="preserve">731122105301 TO 731122105304, 731122105502       </t>
  </si>
  <si>
    <t>731122104705, 731122104706</t>
  </si>
  <si>
    <t xml:space="preserve">731122104001 TO 731122104013       </t>
  </si>
  <si>
    <t xml:space="preserve">731122104014 TO 731122104025       </t>
  </si>
  <si>
    <t xml:space="preserve">731122104026 TO 731122104039       </t>
  </si>
  <si>
    <t xml:space="preserve">731122104040 TO 731122104057, 731122104301 TO 731122104304, 731122104401, 731122104701 TO 731122104704       </t>
  </si>
  <si>
    <t xml:space="preserve">731122104705, 731122104706       </t>
  </si>
  <si>
    <t>731122106001 TO 731122106013</t>
  </si>
  <si>
    <t>731122106014 TO 731122106028</t>
  </si>
  <si>
    <t>731122106029 TO 731122106044</t>
  </si>
  <si>
    <t>731122106045 TO 731122106057, 731122106301 TO 731122106304, 731122106701 TO 731122106707</t>
  </si>
  <si>
    <t xml:space="preserve">DEPARTMENT / SEMESTER  :  7 ECE  </t>
  </si>
  <si>
    <t xml:space="preserve">731122106001 TO 731122106013       </t>
  </si>
  <si>
    <t xml:space="preserve">731122106014 TO 731122106028       </t>
  </si>
  <si>
    <t xml:space="preserve">731122106029 TO 731122106044       </t>
  </si>
  <si>
    <t xml:space="preserve">731122106045 TO 731122106057, 731122106301 TO 731122106304, 731122106701 TO 731122106707       </t>
  </si>
  <si>
    <t>731122114002 TO 731122114017</t>
  </si>
  <si>
    <t>731122114018 TO 731122114032</t>
  </si>
  <si>
    <t>731122114033 TO 731122114047</t>
  </si>
  <si>
    <t>731122114048 TO 731122114056, 731122114301 TO 731122114303</t>
  </si>
  <si>
    <t>731122114304 TO 731122114308, 731122114701 TO 731122114707, 731121114307</t>
  </si>
  <si>
    <t xml:space="preserve">DEPARTMENT / SEMESTER  :   7 MECH </t>
  </si>
  <si>
    <t xml:space="preserve">731122114002 TO 731122114017       </t>
  </si>
  <si>
    <t xml:space="preserve">731122114018 TO 731122114032       </t>
  </si>
  <si>
    <t xml:space="preserve">731122114033 TO 731122114047       </t>
  </si>
  <si>
    <t xml:space="preserve">731122114048 TO 731122114056, 731122114301 TO 731122114303       </t>
  </si>
  <si>
    <r>
      <t>731122114304 TO 731122114308, 731122114701 TO 731122114707,</t>
    </r>
    <r>
      <rPr>
        <sz val="12"/>
        <color rgb="FFFF0000"/>
        <rFont val="Times New Roman"/>
        <family val="1"/>
      </rPr>
      <t xml:space="preserve"> 731121114307   </t>
    </r>
    <r>
      <rPr>
        <sz val="12"/>
        <color theme="1"/>
        <rFont val="Times New Roman"/>
        <family val="1"/>
      </rPr>
      <t xml:space="preserve">    </t>
    </r>
  </si>
  <si>
    <r>
      <t xml:space="preserve">731122102316 TO 731122102318, 731122102501, </t>
    </r>
    <r>
      <rPr>
        <sz val="12"/>
        <color rgb="FFFF0000"/>
        <rFont val="Times New Roman"/>
        <family val="1"/>
      </rPr>
      <t xml:space="preserve">731121102024 </t>
    </r>
    <r>
      <rPr>
        <sz val="12"/>
        <color theme="1"/>
        <rFont val="Times New Roman"/>
        <family val="1"/>
      </rPr>
      <t xml:space="preserve">      </t>
    </r>
  </si>
  <si>
    <t>731122205001 TO 731122205012</t>
  </si>
  <si>
    <t>731122205013 TO 731122205026</t>
  </si>
  <si>
    <t>731122205027 TO 731122205038</t>
  </si>
  <si>
    <t>731122205040 TO 731122205052</t>
  </si>
  <si>
    <t>731122205053 TO 731122205056,731122205301 TO 731122205308, 731122205501</t>
  </si>
  <si>
    <t>732520104035, 732520104055, 732520104303</t>
  </si>
  <si>
    <t>CS8492:Database Management Systems</t>
  </si>
  <si>
    <t>DEPARTMENT / SEMESTER  :    7 IT</t>
  </si>
  <si>
    <t xml:space="preserve">731122205001 TO 731122205012       </t>
  </si>
  <si>
    <t xml:space="preserve">731122205013 TO 731122205026       </t>
  </si>
  <si>
    <t xml:space="preserve">731122205027 TO 731122205038       </t>
  </si>
  <si>
    <t xml:space="preserve">731122205040 TO 731122205052       </t>
  </si>
  <si>
    <t xml:space="preserve">731122205053 TO 731122205056,731122205301 TO 731122205308, 731122205501       </t>
  </si>
  <si>
    <t>731122205502</t>
  </si>
  <si>
    <t>DEPARTMENT / SEMESTER  :    ARREAR</t>
  </si>
  <si>
    <t>GE3791:Human Values and Ethics</t>
  </si>
  <si>
    <t xml:space="preserve"> 19.11.25 FN</t>
  </si>
</sst>
</file>

<file path=xl/styles.xml><?xml version="1.0" encoding="utf-8"?>
<styleSheet xmlns="http://schemas.openxmlformats.org/spreadsheetml/2006/main">
  <numFmts count="2">
    <numFmt numFmtId="164" formatCode="_(* #,##0.00_);_(* \(#,##0.00\);_(* &quot;-&quot;??_);_(@_)"/>
    <numFmt numFmtId="165" formatCode="000000000000"/>
  </numFmts>
  <fonts count="34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5.5"/>
      <name val="Times New Roman"/>
      <family val="1"/>
    </font>
    <font>
      <b/>
      <sz val="17"/>
      <name val="Times New Roman"/>
      <family val="1"/>
    </font>
    <font>
      <b/>
      <sz val="22"/>
      <name val="Times New Roman"/>
      <family val="1"/>
    </font>
    <font>
      <b/>
      <sz val="15"/>
      <name val="Times New Roman"/>
      <family val="1"/>
    </font>
    <font>
      <b/>
      <i/>
      <sz val="14"/>
      <name val="Times New Roman"/>
      <family val="1"/>
    </font>
    <font>
      <b/>
      <sz val="22"/>
      <name val="Old English Text MT"/>
      <family val="4"/>
    </font>
    <font>
      <b/>
      <i/>
      <sz val="18"/>
      <name val="Times New Roman"/>
      <family val="1"/>
    </font>
    <font>
      <b/>
      <sz val="16"/>
      <name val="Times New Roman"/>
      <family val="1"/>
    </font>
    <font>
      <i/>
      <sz val="14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rgb="FF0000FF"/>
      <name val="Times New Roman"/>
      <family val="1"/>
    </font>
    <font>
      <b/>
      <sz val="17"/>
      <color rgb="FF0000FF"/>
      <name val="Times New Roman"/>
      <family val="1"/>
    </font>
    <font>
      <b/>
      <sz val="15.5"/>
      <color rgb="FF0000FF"/>
      <name val="Times New Roman"/>
      <family val="1"/>
    </font>
    <font>
      <b/>
      <sz val="15"/>
      <color theme="1"/>
      <name val="Times New Roman"/>
      <family val="1"/>
    </font>
    <font>
      <b/>
      <sz val="22"/>
      <color rgb="FF0000FF"/>
      <name val="Old English Text MT"/>
      <family val="4"/>
    </font>
    <font>
      <sz val="16"/>
      <color theme="1"/>
      <name val="Times New Roman"/>
      <family val="1"/>
    </font>
    <font>
      <b/>
      <sz val="18"/>
      <color rgb="FF0000FF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20"/>
      <color theme="1"/>
      <name val="Times New Roman"/>
      <family val="1"/>
    </font>
    <font>
      <sz val="20"/>
      <color rgb="FF000000"/>
      <name val="Times New Roman"/>
      <family val="1"/>
    </font>
    <font>
      <sz val="11"/>
      <color rgb="FFFF0000"/>
      <name val="Calibri"/>
      <family val="2"/>
      <scheme val="minor"/>
    </font>
    <font>
      <b/>
      <sz val="14"/>
      <color rgb="FF000000"/>
      <name val="Times New Roman"/>
      <family val="1"/>
    </font>
    <font>
      <b/>
      <sz val="20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ashed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 style="dashed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ashed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ashed">
        <color indexed="64"/>
      </left>
      <right style="double">
        <color indexed="64"/>
      </right>
      <top/>
      <bottom style="thin">
        <color indexed="64"/>
      </bottom>
      <diagonal/>
    </border>
    <border>
      <left style="dashed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164" fontId="14" fillId="0" borderId="0" applyFont="0" applyFill="0" applyBorder="0" applyAlignment="0" applyProtection="0"/>
    <xf numFmtId="1" fontId="1" fillId="0" borderId="0">
      <alignment horizontal="left" vertical="center"/>
    </xf>
    <xf numFmtId="0" fontId="1" fillId="0" borderId="0"/>
    <xf numFmtId="1" fontId="1" fillId="0" borderId="0">
      <alignment horizontal="left" vertical="center"/>
    </xf>
    <xf numFmtId="0" fontId="1" fillId="0" borderId="0"/>
  </cellStyleXfs>
  <cellXfs count="162">
    <xf numFmtId="0" fontId="0" fillId="0" borderId="0" xfId="0"/>
    <xf numFmtId="0" fontId="15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vertical="center"/>
    </xf>
    <xf numFmtId="1" fontId="3" fillId="0" borderId="0" xfId="2" applyFont="1" applyAlignment="1">
      <alignment horizontal="right" vertical="center"/>
    </xf>
    <xf numFmtId="1" fontId="3" fillId="0" borderId="0" xfId="2" applyFont="1">
      <alignment horizontal="left" vertical="center"/>
    </xf>
    <xf numFmtId="164" fontId="3" fillId="0" borderId="0" xfId="1" applyFont="1" applyAlignment="1">
      <alignment horizontal="left" vertical="center"/>
    </xf>
    <xf numFmtId="165" fontId="17" fillId="0" borderId="1" xfId="2" applyNumberFormat="1" applyFont="1" applyBorder="1" applyAlignment="1">
      <alignment horizontal="center" vertical="center"/>
    </xf>
    <xf numFmtId="165" fontId="2" fillId="0" borderId="1" xfId="2" applyNumberFormat="1" applyFont="1" applyBorder="1" applyAlignment="1">
      <alignment horizontal="center" vertical="center"/>
    </xf>
    <xf numFmtId="1" fontId="3" fillId="0" borderId="5" xfId="2" applyFont="1" applyBorder="1" applyAlignment="1">
      <alignment horizontal="center" vertical="center"/>
    </xf>
    <xf numFmtId="1" fontId="3" fillId="0" borderId="4" xfId="2" applyFont="1" applyBorder="1" applyAlignment="1">
      <alignment horizontal="center" vertical="center"/>
    </xf>
    <xf numFmtId="1" fontId="3" fillId="0" borderId="3" xfId="2" applyFont="1" applyBorder="1" applyAlignment="1">
      <alignment horizontal="center" vertical="center"/>
    </xf>
    <xf numFmtId="1" fontId="3" fillId="0" borderId="0" xfId="2" applyFont="1" applyAlignment="1">
      <alignment horizontal="center" vertical="center"/>
    </xf>
    <xf numFmtId="1" fontId="3" fillId="0" borderId="1" xfId="2" applyFont="1" applyBorder="1" applyAlignment="1">
      <alignment horizontal="center" vertical="center"/>
    </xf>
    <xf numFmtId="1" fontId="2" fillId="0" borderId="1" xfId="2" applyFont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1" fontId="3" fillId="0" borderId="7" xfId="0" applyNumberFormat="1" applyFont="1" applyBorder="1" applyAlignment="1">
      <alignment horizontal="center" vertical="center"/>
    </xf>
    <xf numFmtId="1" fontId="3" fillId="0" borderId="8" xfId="0" applyNumberFormat="1" applyFont="1" applyBorder="1" applyAlignment="1">
      <alignment horizontal="center" vertical="center"/>
    </xf>
    <xf numFmtId="1" fontId="3" fillId="0" borderId="6" xfId="0" applyNumberFormat="1" applyFont="1" applyBorder="1" applyAlignment="1">
      <alignment horizontal="center" vertical="center"/>
    </xf>
    <xf numFmtId="1" fontId="2" fillId="0" borderId="4" xfId="2" applyFont="1" applyBorder="1" applyAlignment="1">
      <alignment horizontal="center" vertical="center"/>
    </xf>
    <xf numFmtId="1" fontId="2" fillId="0" borderId="3" xfId="2" applyFont="1" applyBorder="1" applyAlignment="1">
      <alignment horizontal="center" vertical="center"/>
    </xf>
    <xf numFmtId="165" fontId="18" fillId="0" borderId="1" xfId="2" applyNumberFormat="1" applyFont="1" applyBorder="1" applyAlignment="1">
      <alignment horizontal="center" vertical="center"/>
    </xf>
    <xf numFmtId="165" fontId="5" fillId="0" borderId="1" xfId="2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8" fillId="0" borderId="1" xfId="2" applyFont="1" applyBorder="1" applyAlignment="1">
      <alignment horizontal="center" vertical="center"/>
    </xf>
    <xf numFmtId="165" fontId="19" fillId="0" borderId="0" xfId="2" applyNumberFormat="1" applyFont="1" applyBorder="1" applyAlignment="1">
      <alignment horizontal="center" vertical="center"/>
    </xf>
    <xf numFmtId="0" fontId="17" fillId="0" borderId="0" xfId="2" applyNumberFormat="1" applyFont="1" applyBorder="1" applyAlignment="1">
      <alignment horizontal="center" vertical="center"/>
    </xf>
    <xf numFmtId="165" fontId="4" fillId="0" borderId="0" xfId="2" applyNumberFormat="1" applyFont="1" applyBorder="1" applyAlignment="1">
      <alignment horizontal="center" vertical="center"/>
    </xf>
    <xf numFmtId="0" fontId="2" fillId="0" borderId="0" xfId="2" applyNumberFormat="1" applyFont="1" applyBorder="1" applyAlignment="1">
      <alignment horizontal="center" vertical="center"/>
    </xf>
    <xf numFmtId="1" fontId="3" fillId="0" borderId="0" xfId="2" applyFont="1" applyBorder="1">
      <alignment horizontal="left" vertical="center"/>
    </xf>
    <xf numFmtId="1" fontId="3" fillId="0" borderId="4" xfId="2" applyFont="1" applyBorder="1" applyAlignment="1">
      <alignment horizontal="right" vertical="center"/>
    </xf>
    <xf numFmtId="1" fontId="6" fillId="0" borderId="0" xfId="0" applyNumberFormat="1" applyFont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" fontId="20" fillId="0" borderId="6" xfId="0" applyNumberFormat="1" applyFont="1" applyBorder="1" applyAlignment="1">
      <alignment horizontal="center" vertical="center"/>
    </xf>
    <xf numFmtId="0" fontId="21" fillId="0" borderId="9" xfId="2" applyNumberFormat="1" applyFont="1" applyBorder="1" applyAlignment="1">
      <alignment horizontal="center" vertical="center"/>
    </xf>
    <xf numFmtId="0" fontId="9" fillId="0" borderId="9" xfId="2" applyNumberFormat="1" applyFont="1" applyBorder="1" applyAlignment="1">
      <alignment horizontal="center" vertical="center"/>
    </xf>
    <xf numFmtId="0" fontId="21" fillId="0" borderId="11" xfId="2" applyNumberFormat="1" applyFont="1" applyBorder="1" applyAlignment="1">
      <alignment horizontal="center" vertical="center"/>
    </xf>
    <xf numFmtId="0" fontId="21" fillId="0" borderId="13" xfId="2" applyNumberFormat="1" applyFont="1" applyBorder="1" applyAlignment="1">
      <alignment horizontal="center" vertical="center"/>
    </xf>
    <xf numFmtId="1" fontId="3" fillId="0" borderId="17" xfId="2" applyFont="1" applyBorder="1" applyAlignment="1">
      <alignment horizontal="center" vertical="center"/>
    </xf>
    <xf numFmtId="1" fontId="3" fillId="0" borderId="0" xfId="2" applyFont="1" applyBorder="1" applyAlignment="1">
      <alignment horizontal="center" vertical="center"/>
    </xf>
    <xf numFmtId="1" fontId="3" fillId="0" borderId="18" xfId="2" applyFont="1" applyBorder="1" applyAlignment="1">
      <alignment horizontal="center" vertical="center"/>
    </xf>
    <xf numFmtId="1" fontId="3" fillId="0" borderId="8" xfId="2" applyFont="1" applyBorder="1" applyAlignment="1">
      <alignment horizontal="right" vertical="center"/>
    </xf>
    <xf numFmtId="1" fontId="2" fillId="0" borderId="19" xfId="2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2" fillId="0" borderId="1" xfId="0" applyFont="1" applyBorder="1" applyAlignment="1">
      <alignment horizontal="right" vertical="center" wrapText="1"/>
    </xf>
    <xf numFmtId="165" fontId="23" fillId="0" borderId="15" xfId="2" applyNumberFormat="1" applyFont="1" applyBorder="1" applyAlignment="1">
      <alignment horizontal="center" vertical="center"/>
    </xf>
    <xf numFmtId="165" fontId="10" fillId="0" borderId="16" xfId="2" applyNumberFormat="1" applyFont="1" applyBorder="1" applyAlignment="1">
      <alignment horizontal="center" vertical="center"/>
    </xf>
    <xf numFmtId="165" fontId="10" fillId="0" borderId="12" xfId="2" applyNumberFormat="1" applyFont="1" applyBorder="1" applyAlignment="1">
      <alignment horizontal="center" vertical="center"/>
    </xf>
    <xf numFmtId="165" fontId="23" fillId="0" borderId="10" xfId="2" applyNumberFormat="1" applyFont="1" applyBorder="1" applyAlignment="1">
      <alignment horizontal="center" vertical="center"/>
    </xf>
    <xf numFmtId="165" fontId="10" fillId="0" borderId="10" xfId="2" applyNumberFormat="1" applyFont="1" applyBorder="1" applyAlignment="1">
      <alignment horizontal="center" vertical="center"/>
    </xf>
    <xf numFmtId="165" fontId="10" fillId="0" borderId="14" xfId="2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" fontId="12" fillId="0" borderId="1" xfId="0" applyNumberFormat="1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0" fillId="2" borderId="0" xfId="0" applyFill="1"/>
    <xf numFmtId="0" fontId="0" fillId="0" borderId="1" xfId="0" applyFill="1" applyBorder="1" applyAlignment="1">
      <alignment horizontal="center"/>
    </xf>
    <xf numFmtId="0" fontId="0" fillId="0" borderId="0" xfId="0" applyFill="1"/>
    <xf numFmtId="165" fontId="18" fillId="0" borderId="5" xfId="2" applyNumberFormat="1" applyFont="1" applyBorder="1" applyAlignment="1">
      <alignment horizontal="center" vertical="center"/>
    </xf>
    <xf numFmtId="165" fontId="5" fillId="0" borderId="5" xfId="2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5" fontId="5" fillId="0" borderId="24" xfId="2" applyNumberFormat="1" applyFont="1" applyBorder="1" applyAlignment="1">
      <alignment horizontal="center" vertical="center"/>
    </xf>
    <xf numFmtId="1" fontId="20" fillId="0" borderId="18" xfId="0" applyNumberFormat="1" applyFont="1" applyBorder="1" applyAlignment="1">
      <alignment horizontal="center" vertical="center"/>
    </xf>
    <xf numFmtId="165" fontId="18" fillId="0" borderId="24" xfId="2" applyNumberFormat="1" applyFont="1" applyBorder="1" applyAlignment="1">
      <alignment horizontal="center" vertical="center"/>
    </xf>
    <xf numFmtId="1" fontId="2" fillId="0" borderId="1" xfId="2" applyFont="1" applyBorder="1" applyAlignment="1">
      <alignment horizontal="center" vertical="center"/>
    </xf>
    <xf numFmtId="1" fontId="2" fillId="0" borderId="1" xfId="2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/>
    </xf>
    <xf numFmtId="165" fontId="23" fillId="0" borderId="15" xfId="0" applyNumberFormat="1" applyFont="1" applyBorder="1" applyAlignment="1">
      <alignment horizontal="center" vertical="center"/>
    </xf>
    <xf numFmtId="0" fontId="21" fillId="0" borderId="29" xfId="0" applyFont="1" applyBorder="1" applyAlignment="1">
      <alignment horizontal="center" vertical="center"/>
    </xf>
    <xf numFmtId="165" fontId="10" fillId="0" borderId="28" xfId="0" applyNumberFormat="1" applyFont="1" applyBorder="1" applyAlignment="1">
      <alignment horizontal="center" vertical="center"/>
    </xf>
    <xf numFmtId="165" fontId="10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165" fontId="23" fillId="0" borderId="8" xfId="0" applyNumberFormat="1" applyFont="1" applyBorder="1" applyAlignment="1">
      <alignment horizontal="center" vertical="center"/>
    </xf>
    <xf numFmtId="0" fontId="21" fillId="0" borderId="31" xfId="0" applyFont="1" applyBorder="1" applyAlignment="1">
      <alignment horizontal="center" vertical="center"/>
    </xf>
    <xf numFmtId="165" fontId="10" fillId="0" borderId="8" xfId="0" applyNumberFormat="1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165" fontId="10" fillId="0" borderId="33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1" fontId="2" fillId="0" borderId="1" xfId="2" applyFont="1" applyBorder="1" applyAlignment="1">
      <alignment horizontal="center" vertical="center"/>
    </xf>
    <xf numFmtId="1" fontId="8" fillId="0" borderId="1" xfId="2" applyFont="1" applyBorder="1" applyAlignment="1">
      <alignment horizontal="center" vertical="center" wrapText="1"/>
    </xf>
    <xf numFmtId="49" fontId="15" fillId="0" borderId="1" xfId="0" applyNumberFormat="1" applyFont="1" applyBorder="1" applyAlignment="1">
      <alignment horizontal="center" vertical="center" wrapText="1"/>
    </xf>
    <xf numFmtId="1" fontId="7" fillId="0" borderId="5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2" fillId="0" borderId="5" xfId="2" applyFont="1" applyBorder="1" applyAlignment="1">
      <alignment horizontal="center" vertical="center"/>
    </xf>
    <xf numFmtId="1" fontId="2" fillId="0" borderId="4" xfId="2" applyFont="1" applyBorder="1" applyAlignment="1">
      <alignment horizontal="center" vertical="center"/>
    </xf>
    <xf numFmtId="1" fontId="2" fillId="0" borderId="3" xfId="2" applyFont="1" applyBorder="1" applyAlignment="1">
      <alignment horizontal="center" vertical="center"/>
    </xf>
    <xf numFmtId="1" fontId="7" fillId="0" borderId="5" xfId="2" applyFont="1" applyBorder="1" applyAlignment="1">
      <alignment horizontal="center" vertical="center"/>
    </xf>
    <xf numFmtId="1" fontId="7" fillId="0" borderId="3" xfId="2" applyFont="1" applyBorder="1" applyAlignment="1">
      <alignment horizontal="center" vertical="center"/>
    </xf>
    <xf numFmtId="1" fontId="13" fillId="0" borderId="5" xfId="2" applyFont="1" applyBorder="1" applyAlignment="1">
      <alignment horizontal="center" vertical="center"/>
    </xf>
    <xf numFmtId="1" fontId="13" fillId="0" borderId="4" xfId="2" applyFont="1" applyBorder="1" applyAlignment="1">
      <alignment horizontal="center" vertical="center"/>
    </xf>
    <xf numFmtId="1" fontId="13" fillId="0" borderId="3" xfId="2" applyFont="1" applyBorder="1" applyAlignment="1">
      <alignment horizontal="center" vertical="center"/>
    </xf>
    <xf numFmtId="1" fontId="8" fillId="0" borderId="5" xfId="2" applyFont="1" applyBorder="1" applyAlignment="1">
      <alignment horizontal="center" vertical="center"/>
    </xf>
    <xf numFmtId="1" fontId="8" fillId="0" borderId="4" xfId="2" applyFont="1" applyBorder="1" applyAlignment="1">
      <alignment horizontal="center" vertical="center"/>
    </xf>
    <xf numFmtId="1" fontId="8" fillId="0" borderId="3" xfId="2" applyFont="1" applyBorder="1" applyAlignment="1">
      <alignment horizontal="center" vertical="center"/>
    </xf>
    <xf numFmtId="1" fontId="7" fillId="0" borderId="1" xfId="2" applyFont="1" applyBorder="1" applyAlignment="1">
      <alignment horizontal="center" vertical="center"/>
    </xf>
    <xf numFmtId="1" fontId="11" fillId="0" borderId="5" xfId="2" applyFont="1" applyBorder="1" applyAlignment="1">
      <alignment horizontal="center" vertical="center"/>
    </xf>
    <xf numFmtId="0" fontId="0" fillId="0" borderId="3" xfId="0" applyBorder="1"/>
    <xf numFmtId="1" fontId="11" fillId="0" borderId="3" xfId="2" applyFont="1" applyBorder="1" applyAlignment="1">
      <alignment horizontal="center" vertical="center"/>
    </xf>
    <xf numFmtId="1" fontId="2" fillId="0" borderId="5" xfId="2" applyFont="1" applyBorder="1" applyAlignment="1">
      <alignment horizontal="center" vertical="center" wrapText="1"/>
    </xf>
    <xf numFmtId="1" fontId="2" fillId="0" borderId="4" xfId="2" applyFont="1" applyBorder="1" applyAlignment="1">
      <alignment horizontal="center" vertical="center" wrapText="1"/>
    </xf>
    <xf numFmtId="1" fontId="2" fillId="0" borderId="3" xfId="2" applyFont="1" applyBorder="1" applyAlignment="1">
      <alignment horizontal="center" vertical="center" wrapText="1"/>
    </xf>
    <xf numFmtId="1" fontId="7" fillId="0" borderId="22" xfId="2" applyFont="1" applyBorder="1" applyAlignment="1">
      <alignment horizontal="center" vertical="center"/>
    </xf>
    <xf numFmtId="1" fontId="7" fillId="0" borderId="23" xfId="2" applyFont="1" applyBorder="1" applyAlignment="1">
      <alignment horizontal="center" vertical="center"/>
    </xf>
    <xf numFmtId="1" fontId="13" fillId="0" borderId="5" xfId="0" applyNumberFormat="1" applyFont="1" applyBorder="1" applyAlignment="1">
      <alignment horizontal="center" vertical="center"/>
    </xf>
    <xf numFmtId="1" fontId="13" fillId="0" borderId="4" xfId="0" applyNumberFormat="1" applyFont="1" applyBorder="1" applyAlignment="1">
      <alignment horizontal="center" vertical="center"/>
    </xf>
    <xf numFmtId="1" fontId="13" fillId="0" borderId="3" xfId="0" applyNumberFormat="1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textRotation="90" wrapText="1"/>
    </xf>
    <xf numFmtId="0" fontId="24" fillId="0" borderId="5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textRotation="90" wrapText="1"/>
    </xf>
    <xf numFmtId="0" fontId="25" fillId="0" borderId="25" xfId="0" applyFont="1" applyBorder="1" applyAlignment="1">
      <alignment horizontal="center" vertical="center" textRotation="90" wrapText="1"/>
    </xf>
    <xf numFmtId="0" fontId="30" fillId="0" borderId="24" xfId="0" applyFont="1" applyBorder="1" applyAlignment="1">
      <alignment horizontal="center" vertical="center" textRotation="90" wrapText="1"/>
    </xf>
    <xf numFmtId="0" fontId="30" fillId="0" borderId="2" xfId="0" applyFont="1" applyBorder="1" applyAlignment="1">
      <alignment horizontal="center" vertical="center" textRotation="90" wrapText="1"/>
    </xf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25" fillId="0" borderId="0" xfId="0" applyFont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 vertical="center" wrapText="1"/>
    </xf>
    <xf numFmtId="1" fontId="7" fillId="0" borderId="26" xfId="0" applyNumberFormat="1" applyFont="1" applyBorder="1" applyAlignment="1">
      <alignment horizontal="center" vertical="center" wrapText="1"/>
    </xf>
    <xf numFmtId="1" fontId="2" fillId="0" borderId="1" xfId="2" applyFont="1" applyBorder="1" applyAlignment="1">
      <alignment horizontal="center" vertical="center"/>
    </xf>
    <xf numFmtId="1" fontId="13" fillId="0" borderId="26" xfId="0" applyNumberFormat="1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/>
    </xf>
    <xf numFmtId="1" fontId="2" fillId="0" borderId="26" xfId="0" applyNumberFormat="1" applyFont="1" applyBorder="1" applyAlignment="1">
      <alignment horizontal="center" vertical="center"/>
    </xf>
    <xf numFmtId="1" fontId="2" fillId="0" borderId="27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29" fillId="0" borderId="5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3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/>
    </xf>
  </cellXfs>
  <cellStyles count="6">
    <cellStyle name="Comma" xfId="1" builtinId="3"/>
    <cellStyle name="Normal" xfId="0" builtinId="0"/>
    <cellStyle name="Normal 2" xfId="2"/>
    <cellStyle name="Normal 2 2" xfId="3"/>
    <cellStyle name="Normal 2 3" xfId="4"/>
    <cellStyle name="Normal 3" xfId="5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V200"/>
  <sheetViews>
    <sheetView tabSelected="1" view="pageBreakPreview" topLeftCell="A17" zoomScale="70" zoomScaleSheetLayoutView="70" workbookViewId="0">
      <selection activeCell="B24" sqref="B24:I24"/>
    </sheetView>
  </sheetViews>
  <sheetFormatPr defaultRowHeight="35.25" customHeight="1"/>
  <cols>
    <col min="1" max="1" width="24" style="18" customWidth="1"/>
    <col min="2" max="2" width="7.5703125" style="18" customWidth="1"/>
    <col min="3" max="3" width="24.85546875" style="18" customWidth="1"/>
    <col min="4" max="4" width="6.7109375" style="18" customWidth="1"/>
    <col min="5" max="5" width="24.7109375" style="18" customWidth="1"/>
    <col min="6" max="6" width="6.7109375" style="18" customWidth="1"/>
    <col min="7" max="7" width="24.28515625" style="18" customWidth="1"/>
    <col min="8" max="8" width="6.7109375" style="18" customWidth="1"/>
    <col min="9" max="9" width="24.7109375" style="18" customWidth="1"/>
    <col min="10" max="10" width="6.7109375" style="18" customWidth="1"/>
    <col min="11" max="11" width="2.5703125" style="10" customWidth="1"/>
    <col min="12" max="12" width="24.85546875" style="11" customWidth="1"/>
    <col min="13" max="16384" width="9.140625" style="11"/>
  </cols>
  <sheetData>
    <row r="1" spans="1:256" ht="35.25" customHeight="1">
      <c r="A1" s="125" t="s">
        <v>85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256" ht="38.1" customHeight="1">
      <c r="A2" s="126" t="s">
        <v>55</v>
      </c>
      <c r="B2" s="127"/>
      <c r="C2" s="119" t="s">
        <v>80</v>
      </c>
      <c r="D2" s="120"/>
      <c r="E2" s="120"/>
      <c r="F2" s="120"/>
      <c r="G2" s="120"/>
      <c r="H2" s="121"/>
      <c r="I2" s="126"/>
      <c r="J2" s="128"/>
    </row>
    <row r="3" spans="1:256" ht="38.1" customHeight="1" thickBot="1">
      <c r="A3" s="117" t="s">
        <v>28</v>
      </c>
      <c r="B3" s="118"/>
      <c r="C3" s="117" t="s">
        <v>29</v>
      </c>
      <c r="D3" s="118"/>
      <c r="E3" s="117" t="s">
        <v>30</v>
      </c>
      <c r="F3" s="118"/>
      <c r="G3" s="117" t="s">
        <v>31</v>
      </c>
      <c r="H3" s="118"/>
      <c r="I3" s="117" t="s">
        <v>32</v>
      </c>
      <c r="J3" s="118"/>
      <c r="L3" s="12"/>
    </row>
    <row r="4" spans="1:256" ht="45" customHeight="1" thickTop="1">
      <c r="A4" s="55">
        <v>731122205053</v>
      </c>
      <c r="B4" s="43">
        <v>1</v>
      </c>
      <c r="C4" s="57">
        <v>731122114701</v>
      </c>
      <c r="D4" s="43">
        <v>10</v>
      </c>
      <c r="E4" s="55">
        <f>C5+1</f>
        <v>731122205302</v>
      </c>
      <c r="F4" s="43">
        <v>11</v>
      </c>
      <c r="G4" s="57">
        <v>731121114307</v>
      </c>
      <c r="H4" s="43">
        <v>20</v>
      </c>
      <c r="I4" s="55">
        <f>G5+1</f>
        <v>731122205307</v>
      </c>
      <c r="J4" s="43">
        <v>21</v>
      </c>
      <c r="N4" s="27"/>
    </row>
    <row r="5" spans="1:256" ht="45" customHeight="1" thickBot="1">
      <c r="A5" s="56">
        <v>731122114304</v>
      </c>
      <c r="B5" s="42">
        <v>2</v>
      </c>
      <c r="C5" s="58">
        <v>731122205301</v>
      </c>
      <c r="D5" s="42">
        <v>9</v>
      </c>
      <c r="E5" s="56">
        <f>C4+1</f>
        <v>731122114702</v>
      </c>
      <c r="F5" s="42">
        <v>12</v>
      </c>
      <c r="G5" s="58">
        <f>G7+1</f>
        <v>731122205306</v>
      </c>
      <c r="H5" s="42">
        <v>19</v>
      </c>
      <c r="I5" s="56"/>
      <c r="J5" s="42">
        <v>22</v>
      </c>
      <c r="N5" s="28"/>
    </row>
    <row r="6" spans="1:256" ht="45" customHeight="1" thickTop="1">
      <c r="A6" s="55">
        <f>A4+1</f>
        <v>731122205054</v>
      </c>
      <c r="B6" s="41">
        <v>3</v>
      </c>
      <c r="C6" s="59">
        <f>C8+1</f>
        <v>731122114308</v>
      </c>
      <c r="D6" s="41">
        <v>8</v>
      </c>
      <c r="E6" s="55">
        <f>E4+1</f>
        <v>731122205303</v>
      </c>
      <c r="F6" s="41">
        <v>13</v>
      </c>
      <c r="G6" s="59">
        <f>G8+1</f>
        <v>731122114705</v>
      </c>
      <c r="H6" s="41">
        <v>18</v>
      </c>
      <c r="I6" s="55">
        <f>I4+1</f>
        <v>731122205308</v>
      </c>
      <c r="J6" s="41">
        <v>23</v>
      </c>
      <c r="N6" s="27"/>
    </row>
    <row r="7" spans="1:256" ht="45" customHeight="1" thickBot="1">
      <c r="A7" s="56">
        <f>A5+1+1</f>
        <v>731122114306</v>
      </c>
      <c r="B7" s="42">
        <v>4</v>
      </c>
      <c r="C7" s="58">
        <f>A8+1</f>
        <v>731122205056</v>
      </c>
      <c r="D7" s="42">
        <v>7</v>
      </c>
      <c r="E7" s="56">
        <f>E5+1</f>
        <v>731122114703</v>
      </c>
      <c r="F7" s="42">
        <v>14</v>
      </c>
      <c r="G7" s="58">
        <f>E8+1</f>
        <v>731122205305</v>
      </c>
      <c r="H7" s="42">
        <v>17</v>
      </c>
      <c r="I7" s="56"/>
      <c r="J7" s="42">
        <v>24</v>
      </c>
      <c r="N7" s="28"/>
    </row>
    <row r="8" spans="1:256" ht="45" customHeight="1" thickTop="1" thickBot="1">
      <c r="A8" s="55">
        <f>A6+1</f>
        <v>731122205055</v>
      </c>
      <c r="B8" s="44">
        <v>5</v>
      </c>
      <c r="C8" s="60">
        <f>A7+1</f>
        <v>731122114307</v>
      </c>
      <c r="D8" s="44">
        <v>6</v>
      </c>
      <c r="E8" s="55">
        <f>E6+1</f>
        <v>731122205304</v>
      </c>
      <c r="F8" s="44">
        <v>15</v>
      </c>
      <c r="G8" s="60">
        <f>E7+1</f>
        <v>731122114704</v>
      </c>
      <c r="H8" s="44">
        <v>16</v>
      </c>
      <c r="I8" s="55">
        <v>731122205501</v>
      </c>
      <c r="J8" s="44">
        <v>25</v>
      </c>
      <c r="N8" s="27"/>
    </row>
    <row r="9" spans="1:256" ht="38.1" customHeight="1" thickTop="1">
      <c r="A9" s="45"/>
      <c r="B9" s="46"/>
      <c r="C9" s="46"/>
      <c r="D9" s="46"/>
      <c r="E9" s="46"/>
      <c r="F9" s="46"/>
      <c r="G9" s="46"/>
      <c r="H9" s="46"/>
      <c r="I9" s="46"/>
      <c r="J9" s="47"/>
    </row>
    <row r="10" spans="1:256" s="10" customFormat="1" ht="38.1" customHeight="1">
      <c r="A10" s="30" t="s">
        <v>96</v>
      </c>
      <c r="B10" s="114" t="s">
        <v>155</v>
      </c>
      <c r="C10" s="115"/>
      <c r="D10" s="115"/>
      <c r="E10" s="115"/>
      <c r="F10" s="115"/>
      <c r="G10" s="115"/>
      <c r="H10" s="115"/>
      <c r="I10" s="116"/>
      <c r="J10" s="20">
        <v>10</v>
      </c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11"/>
      <c r="DJ10" s="11"/>
      <c r="DK10" s="11"/>
      <c r="DL10" s="11"/>
      <c r="DM10" s="11"/>
      <c r="DN10" s="11"/>
      <c r="DO10" s="11"/>
      <c r="DP10" s="11"/>
      <c r="DQ10" s="11"/>
      <c r="DR10" s="11"/>
      <c r="DS10" s="11"/>
      <c r="DT10" s="11"/>
      <c r="DU10" s="11"/>
      <c r="DV10" s="11"/>
      <c r="DW10" s="11"/>
      <c r="DX10" s="11"/>
      <c r="DY10" s="11"/>
      <c r="DZ10" s="11"/>
      <c r="EA10" s="11"/>
      <c r="EB10" s="11"/>
      <c r="EC10" s="11"/>
      <c r="ED10" s="11"/>
      <c r="EE10" s="11"/>
      <c r="EF10" s="11"/>
      <c r="EG10" s="11"/>
      <c r="EH10" s="11"/>
      <c r="EI10" s="11"/>
      <c r="EJ10" s="11"/>
      <c r="EK10" s="11"/>
      <c r="EL10" s="11"/>
      <c r="EM10" s="11"/>
      <c r="EN10" s="11"/>
      <c r="EO10" s="11"/>
      <c r="EP10" s="11"/>
      <c r="EQ10" s="11"/>
      <c r="ER10" s="11"/>
      <c r="ES10" s="11"/>
      <c r="ET10" s="11"/>
      <c r="EU10" s="11"/>
      <c r="EV10" s="11"/>
      <c r="EW10" s="11"/>
      <c r="EX10" s="11"/>
      <c r="EY10" s="11"/>
      <c r="EZ10" s="11"/>
      <c r="FA10" s="11"/>
      <c r="FB10" s="11"/>
      <c r="FC10" s="11"/>
      <c r="FD10" s="11"/>
      <c r="FE10" s="11"/>
      <c r="FF10" s="11"/>
      <c r="FG10" s="11"/>
      <c r="FH10" s="11"/>
      <c r="FI10" s="11"/>
      <c r="FJ10" s="11"/>
      <c r="FK10" s="11"/>
      <c r="FL10" s="11"/>
      <c r="FM10" s="11"/>
      <c r="FN10" s="11"/>
      <c r="FO10" s="11"/>
      <c r="FP10" s="11"/>
      <c r="FQ10" s="11"/>
      <c r="FR10" s="11"/>
      <c r="FS10" s="11"/>
      <c r="FT10" s="11"/>
      <c r="FU10" s="11"/>
      <c r="FV10" s="11"/>
      <c r="FW10" s="11"/>
      <c r="FX10" s="11"/>
      <c r="FY10" s="11"/>
      <c r="FZ10" s="11"/>
      <c r="GA10" s="11"/>
      <c r="GB10" s="11"/>
      <c r="GC10" s="11"/>
      <c r="GD10" s="11"/>
      <c r="GE10" s="11"/>
      <c r="GF10" s="11"/>
      <c r="GG10" s="11"/>
      <c r="GH10" s="11"/>
      <c r="GI10" s="11"/>
      <c r="GJ10" s="11"/>
      <c r="GK10" s="11"/>
      <c r="GL10" s="11"/>
      <c r="GM10" s="11"/>
      <c r="GN10" s="11"/>
      <c r="GO10" s="11"/>
      <c r="GP10" s="11"/>
      <c r="GQ10" s="11"/>
      <c r="GR10" s="11"/>
      <c r="GS10" s="11"/>
      <c r="GT10" s="11"/>
      <c r="GU10" s="11"/>
      <c r="GV10" s="11"/>
      <c r="GW10" s="11"/>
      <c r="GX10" s="11"/>
      <c r="GY10" s="11"/>
      <c r="GZ10" s="11"/>
      <c r="HA10" s="11"/>
      <c r="HB10" s="11"/>
      <c r="HC10" s="11"/>
      <c r="HD10" s="11"/>
      <c r="HE10" s="11"/>
      <c r="HF10" s="11"/>
      <c r="HG10" s="11"/>
      <c r="HH10" s="11"/>
      <c r="HI10" s="11"/>
      <c r="HJ10" s="11"/>
      <c r="HK10" s="11"/>
      <c r="HL10" s="11"/>
      <c r="HM10" s="11"/>
      <c r="HN10" s="11"/>
      <c r="HO10" s="11"/>
      <c r="HP10" s="11"/>
      <c r="HQ10" s="11"/>
      <c r="HR10" s="11"/>
      <c r="HS10" s="11"/>
      <c r="HT10" s="11"/>
      <c r="HU10" s="11"/>
      <c r="HV10" s="11"/>
      <c r="HW10" s="11"/>
      <c r="HX10" s="11"/>
      <c r="HY10" s="11"/>
      <c r="HZ10" s="11"/>
      <c r="IA10" s="11"/>
      <c r="IB10" s="11"/>
      <c r="IC10" s="11"/>
      <c r="ID10" s="11"/>
      <c r="IE10" s="11"/>
      <c r="IF10" s="11"/>
      <c r="IG10" s="11"/>
      <c r="IH10" s="11"/>
      <c r="II10" s="11"/>
      <c r="IJ10" s="11"/>
      <c r="IK10" s="11"/>
      <c r="IL10" s="11"/>
      <c r="IM10" s="11"/>
      <c r="IN10" s="11"/>
      <c r="IO10" s="11"/>
      <c r="IP10" s="11"/>
      <c r="IQ10" s="11"/>
      <c r="IR10" s="11"/>
      <c r="IS10" s="11"/>
      <c r="IT10" s="11"/>
      <c r="IU10" s="11"/>
      <c r="IV10" s="11"/>
    </row>
    <row r="11" spans="1:256" s="10" customFormat="1" ht="38.1" customHeight="1">
      <c r="A11" s="30" t="s">
        <v>97</v>
      </c>
      <c r="B11" s="122" t="s">
        <v>167</v>
      </c>
      <c r="C11" s="123"/>
      <c r="D11" s="123"/>
      <c r="E11" s="123"/>
      <c r="F11" s="123"/>
      <c r="G11" s="123"/>
      <c r="H11" s="123"/>
      <c r="I11" s="124"/>
      <c r="J11" s="30">
        <v>13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11"/>
      <c r="DJ11" s="11"/>
      <c r="DK11" s="11"/>
      <c r="DL11" s="11"/>
      <c r="DM11" s="11"/>
      <c r="DN11" s="11"/>
      <c r="DO11" s="11"/>
      <c r="DP11" s="11"/>
      <c r="DQ11" s="11"/>
      <c r="DR11" s="11"/>
      <c r="DS11" s="11"/>
      <c r="DT11" s="11"/>
      <c r="DU11" s="11"/>
      <c r="DV11" s="11"/>
      <c r="DW11" s="11"/>
      <c r="DX11" s="11"/>
      <c r="DY11" s="11"/>
      <c r="DZ11" s="11"/>
      <c r="EA11" s="11"/>
      <c r="EB11" s="11"/>
      <c r="EC11" s="11"/>
      <c r="ED11" s="11"/>
      <c r="EE11" s="11"/>
      <c r="EF11" s="11"/>
      <c r="EG11" s="11"/>
      <c r="EH11" s="11"/>
      <c r="EI11" s="11"/>
      <c r="EJ11" s="11"/>
      <c r="EK11" s="11"/>
      <c r="EL11" s="11"/>
      <c r="EM11" s="11"/>
      <c r="EN11" s="11"/>
      <c r="EO11" s="11"/>
      <c r="EP11" s="11"/>
      <c r="EQ11" s="11"/>
      <c r="ER11" s="11"/>
      <c r="ES11" s="11"/>
      <c r="ET11" s="11"/>
      <c r="EU11" s="11"/>
      <c r="EV11" s="11"/>
      <c r="EW11" s="11"/>
      <c r="EX11" s="11"/>
      <c r="EY11" s="11"/>
      <c r="EZ11" s="11"/>
      <c r="FA11" s="11"/>
      <c r="FB11" s="11"/>
      <c r="FC11" s="11"/>
      <c r="FD11" s="11"/>
      <c r="FE11" s="11"/>
      <c r="FF11" s="11"/>
      <c r="FG11" s="11"/>
      <c r="FH11" s="11"/>
      <c r="FI11" s="11"/>
      <c r="FJ11" s="11"/>
      <c r="FK11" s="11"/>
      <c r="FL11" s="11"/>
      <c r="FM11" s="11"/>
      <c r="FN11" s="11"/>
      <c r="FO11" s="11"/>
      <c r="FP11" s="11"/>
      <c r="FQ11" s="11"/>
      <c r="FR11" s="11"/>
      <c r="FS11" s="11"/>
      <c r="FT11" s="11"/>
      <c r="FU11" s="11"/>
      <c r="FV11" s="11"/>
      <c r="FW11" s="11"/>
      <c r="FX11" s="11"/>
      <c r="FY11" s="11"/>
      <c r="FZ11" s="11"/>
      <c r="GA11" s="11"/>
      <c r="GB11" s="11"/>
      <c r="GC11" s="11"/>
      <c r="GD11" s="11"/>
      <c r="GE11" s="11"/>
      <c r="GF11" s="11"/>
      <c r="GG11" s="11"/>
      <c r="GH11" s="11"/>
      <c r="GI11" s="11"/>
      <c r="GJ11" s="11"/>
      <c r="GK11" s="11"/>
      <c r="GL11" s="11"/>
      <c r="GM11" s="11"/>
      <c r="GN11" s="11"/>
      <c r="GO11" s="11"/>
      <c r="GP11" s="11"/>
      <c r="GQ11" s="11"/>
      <c r="GR11" s="11"/>
      <c r="GS11" s="11"/>
      <c r="GT11" s="11"/>
      <c r="GU11" s="11"/>
      <c r="GV11" s="11"/>
      <c r="GW11" s="11"/>
      <c r="GX11" s="11"/>
      <c r="GY11" s="11"/>
      <c r="GZ11" s="11"/>
      <c r="HA11" s="11"/>
      <c r="HB11" s="11"/>
      <c r="HC11" s="11"/>
      <c r="HD11" s="11"/>
      <c r="HE11" s="11"/>
      <c r="HF11" s="11"/>
      <c r="HG11" s="11"/>
      <c r="HH11" s="11"/>
      <c r="HI11" s="11"/>
      <c r="HJ11" s="11"/>
      <c r="HK11" s="11"/>
      <c r="HL11" s="11"/>
      <c r="HM11" s="11"/>
      <c r="HN11" s="11"/>
      <c r="HO11" s="11"/>
      <c r="HP11" s="11"/>
      <c r="HQ11" s="11"/>
      <c r="HR11" s="11"/>
      <c r="HS11" s="11"/>
      <c r="HT11" s="11"/>
      <c r="HU11" s="11"/>
      <c r="HV11" s="11"/>
      <c r="HW11" s="11"/>
      <c r="HX11" s="11"/>
      <c r="HY11" s="11"/>
      <c r="HZ11" s="11"/>
      <c r="IA11" s="11"/>
      <c r="IB11" s="11"/>
      <c r="IC11" s="11"/>
      <c r="ID11" s="11"/>
      <c r="IE11" s="11"/>
      <c r="IF11" s="11"/>
      <c r="IG11" s="11"/>
      <c r="IH11" s="11"/>
      <c r="II11" s="11"/>
      <c r="IJ11" s="11"/>
      <c r="IK11" s="11"/>
      <c r="IL11" s="11"/>
      <c r="IM11" s="11"/>
      <c r="IN11" s="11"/>
      <c r="IO11" s="11"/>
      <c r="IP11" s="11"/>
      <c r="IQ11" s="11"/>
      <c r="IR11" s="11"/>
      <c r="IS11" s="11"/>
      <c r="IT11" s="11"/>
      <c r="IU11" s="11"/>
      <c r="IV11" s="11"/>
    </row>
    <row r="12" spans="1:256" s="10" customFormat="1" ht="38.1" customHeight="1">
      <c r="A12" s="15"/>
      <c r="B12" s="16"/>
      <c r="C12" s="16"/>
      <c r="D12" s="16"/>
      <c r="E12" s="16"/>
      <c r="F12" s="16"/>
      <c r="G12" s="48"/>
      <c r="H12" s="25"/>
      <c r="I12" s="25" t="s">
        <v>2</v>
      </c>
      <c r="J12" s="49">
        <v>23</v>
      </c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/>
      <c r="ED12" s="11"/>
      <c r="EE12" s="11"/>
      <c r="EF12" s="11"/>
      <c r="EG12" s="11"/>
      <c r="EH12" s="11"/>
      <c r="EI12" s="11"/>
      <c r="EJ12" s="11"/>
      <c r="EK12" s="11"/>
      <c r="EL12" s="11"/>
      <c r="EM12" s="11"/>
      <c r="EN12" s="11"/>
      <c r="EO12" s="11"/>
      <c r="EP12" s="11"/>
      <c r="EQ12" s="11"/>
      <c r="ER12" s="11"/>
      <c r="ES12" s="11"/>
      <c r="ET12" s="11"/>
      <c r="EU12" s="11"/>
      <c r="EV12" s="11"/>
      <c r="EW12" s="11"/>
      <c r="EX12" s="11"/>
      <c r="EY12" s="11"/>
      <c r="EZ12" s="11"/>
      <c r="FA12" s="11"/>
      <c r="FB12" s="11"/>
      <c r="FC12" s="11"/>
      <c r="FD12" s="11"/>
      <c r="FE12" s="11"/>
      <c r="FF12" s="11"/>
      <c r="FG12" s="11"/>
      <c r="FH12" s="11"/>
      <c r="FI12" s="11"/>
      <c r="FJ12" s="11"/>
      <c r="FK12" s="11"/>
      <c r="FL12" s="11"/>
      <c r="FM12" s="11"/>
      <c r="FN12" s="11"/>
      <c r="FO12" s="11"/>
      <c r="FP12" s="11"/>
      <c r="FQ12" s="11"/>
      <c r="FR12" s="11"/>
      <c r="FS12" s="11"/>
      <c r="FT12" s="11"/>
      <c r="FU12" s="11"/>
      <c r="FV12" s="11"/>
      <c r="FW12" s="11"/>
      <c r="FX12" s="11"/>
      <c r="FY12" s="11"/>
      <c r="FZ12" s="11"/>
      <c r="GA12" s="11"/>
      <c r="GB12" s="11"/>
      <c r="GC12" s="11"/>
      <c r="GD12" s="11"/>
      <c r="GE12" s="11"/>
      <c r="GF12" s="11"/>
      <c r="GG12" s="11"/>
      <c r="GH12" s="11"/>
      <c r="GI12" s="11"/>
      <c r="GJ12" s="11"/>
      <c r="GK12" s="11"/>
      <c r="GL12" s="11"/>
      <c r="GM12" s="11"/>
      <c r="GN12" s="11"/>
      <c r="GO12" s="11"/>
      <c r="GP12" s="11"/>
      <c r="GQ12" s="11"/>
      <c r="GR12" s="11"/>
      <c r="GS12" s="11"/>
      <c r="GT12" s="11"/>
      <c r="GU12" s="11"/>
      <c r="GV12" s="11"/>
      <c r="GW12" s="11"/>
      <c r="GX12" s="11"/>
      <c r="GY12" s="11"/>
      <c r="GZ12" s="11"/>
      <c r="HA12" s="11"/>
      <c r="HB12" s="11"/>
      <c r="HC12" s="11"/>
      <c r="HD12" s="11"/>
      <c r="HE12" s="11"/>
      <c r="HF12" s="11"/>
      <c r="HG12" s="11"/>
      <c r="HH12" s="11"/>
      <c r="HI12" s="11"/>
      <c r="HJ12" s="11"/>
      <c r="HK12" s="11"/>
      <c r="HL12" s="11"/>
      <c r="HM12" s="11"/>
      <c r="HN12" s="11"/>
      <c r="HO12" s="11"/>
      <c r="HP12" s="11"/>
      <c r="HQ12" s="11"/>
      <c r="HR12" s="11"/>
      <c r="HS12" s="11"/>
      <c r="HT12" s="11"/>
      <c r="HU12" s="11"/>
      <c r="HV12" s="11"/>
      <c r="HW12" s="11"/>
      <c r="HX12" s="11"/>
      <c r="HY12" s="11"/>
      <c r="HZ12" s="11"/>
      <c r="IA12" s="11"/>
      <c r="IB12" s="11"/>
      <c r="IC12" s="11"/>
      <c r="ID12" s="11"/>
      <c r="IE12" s="11"/>
      <c r="IF12" s="11"/>
      <c r="IG12" s="11"/>
      <c r="IH12" s="11"/>
      <c r="II12" s="11"/>
      <c r="IJ12" s="11"/>
      <c r="IK12" s="11"/>
      <c r="IL12" s="11"/>
      <c r="IM12" s="11"/>
      <c r="IN12" s="11"/>
      <c r="IO12" s="11"/>
      <c r="IP12" s="11"/>
      <c r="IQ12" s="11"/>
      <c r="IR12" s="11"/>
      <c r="IS12" s="11"/>
      <c r="IT12" s="11"/>
      <c r="IU12" s="11"/>
      <c r="IV12" s="11"/>
    </row>
    <row r="13" spans="1:256" ht="38.1" customHeight="1">
      <c r="A13" s="125" t="str">
        <f>A1</f>
        <v>GCE : : ERODE - 638 316 - ANNA UNIVERSITY EXAMS - HALL  SKETCH - NOV/DEC 2025</v>
      </c>
      <c r="B13" s="125"/>
      <c r="C13" s="125"/>
      <c r="D13" s="125"/>
      <c r="E13" s="125"/>
      <c r="F13" s="125"/>
      <c r="G13" s="125"/>
      <c r="H13" s="125"/>
      <c r="I13" s="125"/>
      <c r="J13" s="125"/>
    </row>
    <row r="14" spans="1:256" ht="38.1" customHeight="1">
      <c r="A14" s="126" t="s">
        <v>56</v>
      </c>
      <c r="B14" s="127"/>
      <c r="C14" s="119" t="str">
        <f>C2</f>
        <v>Date &amp; Session :  19.11.2025 FN</v>
      </c>
      <c r="D14" s="120"/>
      <c r="E14" s="120"/>
      <c r="F14" s="120"/>
      <c r="G14" s="120"/>
      <c r="H14" s="121"/>
      <c r="I14" s="126"/>
      <c r="J14" s="128"/>
    </row>
    <row r="15" spans="1:256" ht="38.1" customHeight="1" thickBot="1">
      <c r="A15" s="117" t="s">
        <v>28</v>
      </c>
      <c r="B15" s="118"/>
      <c r="C15" s="117" t="s">
        <v>29</v>
      </c>
      <c r="D15" s="118"/>
      <c r="E15" s="117" t="s">
        <v>30</v>
      </c>
      <c r="F15" s="118"/>
      <c r="G15" s="117" t="s">
        <v>31</v>
      </c>
      <c r="H15" s="118"/>
      <c r="I15" s="117" t="s">
        <v>32</v>
      </c>
      <c r="J15" s="118"/>
      <c r="K15" s="11"/>
    </row>
    <row r="16" spans="1:256" ht="38.1" customHeight="1" thickTop="1">
      <c r="A16" s="55">
        <v>731122102316</v>
      </c>
      <c r="B16" s="43">
        <v>1</v>
      </c>
      <c r="C16" s="57"/>
      <c r="D16" s="43">
        <v>10</v>
      </c>
      <c r="E16" s="55">
        <v>731122103307</v>
      </c>
      <c r="F16" s="43">
        <v>11</v>
      </c>
      <c r="G16" s="57"/>
      <c r="H16" s="43">
        <v>20</v>
      </c>
      <c r="I16" s="55">
        <v>731122105302</v>
      </c>
      <c r="J16" s="43">
        <v>21</v>
      </c>
      <c r="K16" s="11"/>
    </row>
    <row r="17" spans="1:22" ht="38.1" customHeight="1" thickBot="1">
      <c r="A17" s="56">
        <v>731122205502</v>
      </c>
      <c r="B17" s="42">
        <v>2</v>
      </c>
      <c r="C17" s="58">
        <v>731121102024</v>
      </c>
      <c r="D17" s="42">
        <v>9</v>
      </c>
      <c r="E17" s="56"/>
      <c r="F17" s="42">
        <v>12</v>
      </c>
      <c r="G17" s="58">
        <v>731122105301</v>
      </c>
      <c r="H17" s="42">
        <v>19</v>
      </c>
      <c r="I17" s="56"/>
      <c r="J17" s="42">
        <v>22</v>
      </c>
      <c r="K17" s="11"/>
      <c r="M17" s="31"/>
      <c r="N17" s="32"/>
      <c r="O17" s="33"/>
      <c r="P17" s="34"/>
      <c r="Q17" s="31"/>
      <c r="R17" s="32"/>
      <c r="S17" s="33"/>
      <c r="T17" s="34"/>
      <c r="U17" s="31"/>
      <c r="V17" s="32"/>
    </row>
    <row r="18" spans="1:22" ht="38.1" customHeight="1" thickTop="1">
      <c r="A18" s="55">
        <f>A16+1</f>
        <v>731122102317</v>
      </c>
      <c r="B18" s="41">
        <v>3</v>
      </c>
      <c r="C18" s="59">
        <v>732520104303</v>
      </c>
      <c r="D18" s="41">
        <v>8</v>
      </c>
      <c r="E18" s="55">
        <v>731122103701</v>
      </c>
      <c r="F18" s="41">
        <v>13</v>
      </c>
      <c r="G18" s="59"/>
      <c r="H18" s="41">
        <v>18</v>
      </c>
      <c r="I18" s="55">
        <v>731122105304</v>
      </c>
      <c r="J18" s="41">
        <v>23</v>
      </c>
      <c r="K18" s="11"/>
      <c r="M18" s="33"/>
      <c r="N18" s="34"/>
      <c r="O18" s="31"/>
      <c r="P18" s="32"/>
      <c r="Q18" s="33"/>
      <c r="R18" s="34"/>
      <c r="S18" s="31"/>
      <c r="T18" s="32"/>
      <c r="U18" s="33"/>
      <c r="V18" s="34"/>
    </row>
    <row r="19" spans="1:22" ht="38.1" customHeight="1" thickBot="1">
      <c r="A19" s="56">
        <v>732520104035</v>
      </c>
      <c r="B19" s="42">
        <v>4</v>
      </c>
      <c r="C19" s="58">
        <v>731122102501</v>
      </c>
      <c r="D19" s="42">
        <v>7</v>
      </c>
      <c r="E19" s="56"/>
      <c r="F19" s="42">
        <v>14</v>
      </c>
      <c r="G19" s="58">
        <f>E20+1</f>
        <v>731122104706</v>
      </c>
      <c r="H19" s="42">
        <v>17</v>
      </c>
      <c r="I19" s="56"/>
      <c r="J19" s="42">
        <v>24</v>
      </c>
      <c r="K19" s="11"/>
      <c r="M19" s="31"/>
      <c r="N19" s="32"/>
      <c r="O19" s="33"/>
      <c r="P19" s="34"/>
      <c r="Q19" s="31"/>
      <c r="R19" s="32"/>
      <c r="S19" s="33"/>
      <c r="T19" s="34"/>
      <c r="U19" s="31"/>
      <c r="V19" s="32"/>
    </row>
    <row r="20" spans="1:22" ht="38.1" customHeight="1" thickTop="1" thickBot="1">
      <c r="A20" s="55">
        <f>A18+1</f>
        <v>731122102318</v>
      </c>
      <c r="B20" s="44">
        <v>5</v>
      </c>
      <c r="C20" s="60">
        <v>732520104055</v>
      </c>
      <c r="D20" s="44">
        <v>6</v>
      </c>
      <c r="E20" s="55">
        <v>731122104705</v>
      </c>
      <c r="F20" s="44">
        <v>15</v>
      </c>
      <c r="G20" s="60"/>
      <c r="H20" s="44">
        <v>16</v>
      </c>
      <c r="I20" s="55">
        <v>731122105502</v>
      </c>
      <c r="J20" s="44">
        <v>25</v>
      </c>
      <c r="K20" s="11"/>
      <c r="M20" s="33"/>
      <c r="N20" s="34"/>
      <c r="O20" s="31"/>
      <c r="P20" s="32"/>
      <c r="Q20" s="33"/>
      <c r="R20" s="34"/>
      <c r="S20" s="31"/>
      <c r="T20" s="32"/>
      <c r="U20" s="33"/>
      <c r="V20" s="34"/>
    </row>
    <row r="21" spans="1:22" ht="38.1" customHeight="1" thickTop="1">
      <c r="A21" s="45"/>
      <c r="B21" s="46"/>
      <c r="C21" s="46"/>
      <c r="D21" s="46"/>
      <c r="E21" s="46"/>
      <c r="F21" s="46"/>
      <c r="G21" s="46"/>
      <c r="H21" s="46"/>
      <c r="I21" s="46"/>
      <c r="J21" s="47"/>
      <c r="K21" s="11"/>
      <c r="M21" s="31"/>
      <c r="N21" s="32"/>
      <c r="O21" s="33"/>
      <c r="P21" s="34"/>
      <c r="Q21" s="31"/>
      <c r="R21" s="32"/>
      <c r="S21" s="33"/>
      <c r="T21" s="34"/>
      <c r="U21" s="31"/>
      <c r="V21" s="32"/>
    </row>
    <row r="22" spans="1:22" ht="38.1" customHeight="1">
      <c r="A22" s="30" t="s">
        <v>101</v>
      </c>
      <c r="B22" s="114" t="s">
        <v>106</v>
      </c>
      <c r="C22" s="115"/>
      <c r="D22" s="115"/>
      <c r="E22" s="115"/>
      <c r="F22" s="115"/>
      <c r="G22" s="115"/>
      <c r="H22" s="115"/>
      <c r="I22" s="116"/>
      <c r="J22" s="20">
        <v>5</v>
      </c>
      <c r="M22" s="35"/>
      <c r="N22" s="35"/>
      <c r="O22" s="35"/>
      <c r="P22" s="35"/>
      <c r="Q22" s="35"/>
      <c r="R22" s="35"/>
      <c r="S22" s="35"/>
      <c r="T22" s="35"/>
      <c r="U22" s="35"/>
      <c r="V22" s="35"/>
    </row>
    <row r="23" spans="1:22" ht="38.1" customHeight="1">
      <c r="A23" s="30" t="s">
        <v>94</v>
      </c>
      <c r="B23" s="114" t="s">
        <v>130</v>
      </c>
      <c r="C23" s="115"/>
      <c r="D23" s="115"/>
      <c r="E23" s="115"/>
      <c r="F23" s="115"/>
      <c r="G23" s="115"/>
      <c r="H23" s="115"/>
      <c r="I23" s="116"/>
      <c r="J23" s="91">
        <v>4</v>
      </c>
      <c r="M23" s="35"/>
      <c r="N23" s="35"/>
      <c r="O23" s="35"/>
      <c r="P23" s="35"/>
      <c r="Q23" s="35"/>
      <c r="R23" s="35"/>
      <c r="S23" s="35"/>
      <c r="T23" s="35"/>
      <c r="U23" s="35"/>
      <c r="V23" s="35"/>
    </row>
    <row r="24" spans="1:22" ht="38.1" customHeight="1">
      <c r="A24" s="30" t="s">
        <v>93</v>
      </c>
      <c r="B24" s="114" t="s">
        <v>136</v>
      </c>
      <c r="C24" s="115"/>
      <c r="D24" s="115"/>
      <c r="E24" s="115"/>
      <c r="F24" s="115"/>
      <c r="G24" s="115"/>
      <c r="H24" s="115"/>
      <c r="I24" s="116"/>
      <c r="J24" s="91">
        <v>2</v>
      </c>
      <c r="M24" s="35"/>
      <c r="N24" s="35"/>
      <c r="O24" s="35"/>
      <c r="P24" s="35"/>
      <c r="Q24" s="35"/>
      <c r="R24" s="35"/>
      <c r="S24" s="35"/>
      <c r="T24" s="35"/>
      <c r="U24" s="35"/>
      <c r="V24" s="35"/>
    </row>
    <row r="25" spans="1:22" ht="38.1" customHeight="1">
      <c r="A25" s="30" t="s">
        <v>97</v>
      </c>
      <c r="B25" s="114">
        <v>731122205502</v>
      </c>
      <c r="C25" s="115"/>
      <c r="D25" s="115"/>
      <c r="E25" s="115"/>
      <c r="F25" s="115"/>
      <c r="G25" s="115"/>
      <c r="H25" s="115"/>
      <c r="I25" s="116"/>
      <c r="J25" s="108">
        <v>1</v>
      </c>
      <c r="M25" s="35"/>
      <c r="N25" s="35"/>
      <c r="O25" s="35"/>
      <c r="P25" s="35"/>
      <c r="Q25" s="35"/>
      <c r="R25" s="35"/>
      <c r="S25" s="35"/>
      <c r="T25" s="35"/>
      <c r="U25" s="35"/>
      <c r="V25" s="35"/>
    </row>
    <row r="26" spans="1:22" ht="58.5">
      <c r="A26" s="109" t="s">
        <v>169</v>
      </c>
      <c r="B26" s="114" t="s">
        <v>168</v>
      </c>
      <c r="C26" s="115"/>
      <c r="D26" s="115"/>
      <c r="E26" s="115"/>
      <c r="F26" s="115"/>
      <c r="G26" s="115"/>
      <c r="H26" s="115"/>
      <c r="I26" s="116"/>
      <c r="J26" s="108">
        <v>3</v>
      </c>
      <c r="M26" s="35"/>
      <c r="N26" s="35"/>
      <c r="O26" s="35"/>
      <c r="P26" s="35"/>
      <c r="Q26" s="35"/>
      <c r="R26" s="35"/>
      <c r="S26" s="35"/>
      <c r="T26" s="35"/>
      <c r="U26" s="35"/>
      <c r="V26" s="35"/>
    </row>
    <row r="27" spans="1:22" ht="38.1" customHeight="1">
      <c r="A27" s="30" t="s">
        <v>112</v>
      </c>
      <c r="B27" s="122" t="s">
        <v>116</v>
      </c>
      <c r="C27" s="123"/>
      <c r="D27" s="123"/>
      <c r="E27" s="123"/>
      <c r="F27" s="123"/>
      <c r="G27" s="123"/>
      <c r="H27" s="123"/>
      <c r="I27" s="124"/>
      <c r="J27" s="30">
        <v>2</v>
      </c>
      <c r="K27" s="11"/>
    </row>
    <row r="28" spans="1:22" ht="38.1" customHeight="1">
      <c r="A28" s="15"/>
      <c r="B28" s="16"/>
      <c r="C28" s="16"/>
      <c r="D28" s="16"/>
      <c r="E28" s="16"/>
      <c r="F28" s="16"/>
      <c r="G28" s="48"/>
      <c r="H28" s="25"/>
      <c r="I28" s="25" t="s">
        <v>2</v>
      </c>
      <c r="J28" s="49">
        <v>17</v>
      </c>
      <c r="K28" s="11"/>
    </row>
    <row r="29" spans="1:22" ht="38.1" customHeight="1">
      <c r="A29" s="15"/>
      <c r="B29" s="16"/>
      <c r="C29" s="16"/>
      <c r="D29" s="16"/>
      <c r="E29" s="16"/>
      <c r="F29" s="16"/>
      <c r="G29" s="48"/>
      <c r="H29" s="25"/>
      <c r="I29" s="25"/>
      <c r="J29" s="49"/>
      <c r="K29" s="11"/>
    </row>
    <row r="30" spans="1:22" ht="35.25" customHeight="1">
      <c r="A30" s="111" t="str">
        <f>A1</f>
        <v>GCE : : ERODE - 638 316 - ANNA UNIVERSITY EXAMS - HALL  SKETCH - NOV/DEC 2025</v>
      </c>
      <c r="B30" s="112"/>
      <c r="C30" s="112"/>
      <c r="D30" s="112"/>
      <c r="E30" s="112"/>
      <c r="F30" s="112"/>
      <c r="G30" s="112"/>
      <c r="H30" s="112"/>
      <c r="I30" s="112"/>
      <c r="J30" s="113"/>
      <c r="K30" s="11"/>
    </row>
    <row r="31" spans="1:22" ht="35.25" customHeight="1">
      <c r="A31" s="126" t="s">
        <v>13</v>
      </c>
      <c r="B31" s="128"/>
      <c r="C31" s="119" t="str">
        <f>C2</f>
        <v>Date &amp; Session :  19.11.2025 FN</v>
      </c>
      <c r="D31" s="120"/>
      <c r="E31" s="120"/>
      <c r="F31" s="120"/>
      <c r="G31" s="120"/>
      <c r="H31" s="121"/>
      <c r="I31" s="126"/>
      <c r="J31" s="128"/>
      <c r="K31" s="11"/>
    </row>
    <row r="32" spans="1:22" ht="35.25" customHeight="1" thickBot="1">
      <c r="A32" s="117" t="s">
        <v>28</v>
      </c>
      <c r="B32" s="118"/>
      <c r="C32" s="117" t="s">
        <v>29</v>
      </c>
      <c r="D32" s="118"/>
      <c r="E32" s="117" t="s">
        <v>30</v>
      </c>
      <c r="F32" s="118"/>
      <c r="G32" s="117" t="s">
        <v>31</v>
      </c>
      <c r="H32" s="118"/>
      <c r="I32" s="117" t="s">
        <v>32</v>
      </c>
      <c r="J32" s="118"/>
      <c r="K32" s="11"/>
    </row>
    <row r="33" spans="1:11" ht="35.25" customHeight="1" thickTop="1">
      <c r="A33" s="55">
        <v>731122114002</v>
      </c>
      <c r="B33" s="43">
        <v>1</v>
      </c>
      <c r="C33" s="57">
        <f>C35+1</f>
        <v>731122205005</v>
      </c>
      <c r="D33" s="43">
        <v>10</v>
      </c>
      <c r="E33" s="55">
        <f>C34+1+1</f>
        <v>731122114008</v>
      </c>
      <c r="F33" s="43">
        <v>11</v>
      </c>
      <c r="G33" s="57">
        <f>G35+1</f>
        <v>731122205010</v>
      </c>
      <c r="H33" s="43">
        <v>20</v>
      </c>
      <c r="I33" s="55">
        <f>G34+1</f>
        <v>731122114013</v>
      </c>
      <c r="J33" s="43">
        <v>21</v>
      </c>
      <c r="K33" s="11"/>
    </row>
    <row r="34" spans="1:11" ht="35.25" customHeight="1" thickBot="1">
      <c r="A34" s="56">
        <v>731122205001</v>
      </c>
      <c r="B34" s="42">
        <v>2</v>
      </c>
      <c r="C34" s="58">
        <f>C36+1</f>
        <v>731122114006</v>
      </c>
      <c r="D34" s="42">
        <v>9</v>
      </c>
      <c r="E34" s="56">
        <f>C33+1</f>
        <v>731122205006</v>
      </c>
      <c r="F34" s="42">
        <v>12</v>
      </c>
      <c r="G34" s="58">
        <f>G36+1</f>
        <v>731122114012</v>
      </c>
      <c r="H34" s="42">
        <v>19</v>
      </c>
      <c r="I34" s="56">
        <f>G33+1</f>
        <v>731122205011</v>
      </c>
      <c r="J34" s="42">
        <v>22</v>
      </c>
      <c r="K34" s="11"/>
    </row>
    <row r="35" spans="1:11" ht="35.25" customHeight="1" thickTop="1">
      <c r="A35" s="55">
        <f>A33+1</f>
        <v>731122114003</v>
      </c>
      <c r="B35" s="41">
        <v>3</v>
      </c>
      <c r="C35" s="59">
        <f>C37+1</f>
        <v>731122205004</v>
      </c>
      <c r="D35" s="41">
        <v>8</v>
      </c>
      <c r="E35" s="55">
        <f>E33+1</f>
        <v>731122114009</v>
      </c>
      <c r="F35" s="41">
        <v>13</v>
      </c>
      <c r="G35" s="59">
        <f>G37+1</f>
        <v>731122205009</v>
      </c>
      <c r="H35" s="41">
        <v>18</v>
      </c>
      <c r="I35" s="55">
        <f>I33+1</f>
        <v>731122114014</v>
      </c>
      <c r="J35" s="41">
        <v>23</v>
      </c>
      <c r="K35" s="11"/>
    </row>
    <row r="36" spans="1:11" ht="35.25" customHeight="1" thickBot="1">
      <c r="A36" s="56">
        <f>A34+1</f>
        <v>731122205002</v>
      </c>
      <c r="B36" s="42">
        <v>4</v>
      </c>
      <c r="C36" s="58">
        <f>A37+1</f>
        <v>731122114005</v>
      </c>
      <c r="D36" s="42">
        <v>7</v>
      </c>
      <c r="E36" s="56">
        <f>E34+1</f>
        <v>731122205007</v>
      </c>
      <c r="F36" s="42">
        <v>14</v>
      </c>
      <c r="G36" s="58">
        <f>E37+1</f>
        <v>731122114011</v>
      </c>
      <c r="H36" s="42">
        <v>17</v>
      </c>
      <c r="I36" s="56">
        <f>I34+1</f>
        <v>731122205012</v>
      </c>
      <c r="J36" s="42">
        <v>24</v>
      </c>
      <c r="K36" s="11"/>
    </row>
    <row r="37" spans="1:11" ht="35.25" customHeight="1" thickTop="1" thickBot="1">
      <c r="A37" s="55">
        <f>A35+1</f>
        <v>731122114004</v>
      </c>
      <c r="B37" s="44">
        <v>5</v>
      </c>
      <c r="C37" s="60">
        <f>A36+1</f>
        <v>731122205003</v>
      </c>
      <c r="D37" s="44">
        <v>6</v>
      </c>
      <c r="E37" s="55">
        <f>E35+1</f>
        <v>731122114010</v>
      </c>
      <c r="F37" s="44">
        <v>15</v>
      </c>
      <c r="G37" s="60">
        <f>E36+1</f>
        <v>731122205008</v>
      </c>
      <c r="H37" s="44">
        <v>16</v>
      </c>
      <c r="I37" s="55">
        <f>I35+1+2</f>
        <v>731122114017</v>
      </c>
      <c r="J37" s="44">
        <v>25</v>
      </c>
      <c r="K37" s="11"/>
    </row>
    <row r="38" spans="1:11" ht="35.25" customHeight="1" thickTop="1">
      <c r="A38" s="45"/>
      <c r="B38" s="46"/>
      <c r="C38" s="46"/>
      <c r="D38" s="46"/>
      <c r="E38" s="46"/>
      <c r="F38" s="46"/>
      <c r="G38" s="46"/>
      <c r="H38" s="46"/>
      <c r="I38" s="46"/>
      <c r="J38" s="47"/>
      <c r="K38" s="11"/>
    </row>
    <row r="39" spans="1:11" ht="35.25" customHeight="1">
      <c r="A39" s="30" t="s">
        <v>96</v>
      </c>
      <c r="B39" s="114" t="s">
        <v>151</v>
      </c>
      <c r="C39" s="115"/>
      <c r="D39" s="115"/>
      <c r="E39" s="115"/>
      <c r="F39" s="115"/>
      <c r="G39" s="115"/>
      <c r="H39" s="115"/>
      <c r="I39" s="116"/>
      <c r="J39" s="20">
        <v>13</v>
      </c>
      <c r="K39" s="11"/>
    </row>
    <row r="40" spans="1:11" ht="35.25" customHeight="1">
      <c r="A40" s="30" t="s">
        <v>97</v>
      </c>
      <c r="B40" s="122" t="s">
        <v>163</v>
      </c>
      <c r="C40" s="123"/>
      <c r="D40" s="123"/>
      <c r="E40" s="123"/>
      <c r="F40" s="123"/>
      <c r="G40" s="123"/>
      <c r="H40" s="123"/>
      <c r="I40" s="124"/>
      <c r="J40" s="30">
        <v>12</v>
      </c>
      <c r="K40" s="11"/>
    </row>
    <row r="41" spans="1:11" ht="35.25" customHeight="1">
      <c r="A41" s="15"/>
      <c r="B41" s="16"/>
      <c r="C41" s="16"/>
      <c r="D41" s="16"/>
      <c r="E41" s="16"/>
      <c r="F41" s="16"/>
      <c r="G41" s="48"/>
      <c r="H41" s="25"/>
      <c r="I41" s="25" t="s">
        <v>2</v>
      </c>
      <c r="J41" s="49">
        <v>25</v>
      </c>
    </row>
    <row r="42" spans="1:11" ht="35.25" customHeight="1">
      <c r="A42" s="111" t="str">
        <f>A1</f>
        <v>GCE : : ERODE - 638 316 - ANNA UNIVERSITY EXAMS - HALL  SKETCH - NOV/DEC 2025</v>
      </c>
      <c r="B42" s="112"/>
      <c r="C42" s="112"/>
      <c r="D42" s="112"/>
      <c r="E42" s="112"/>
      <c r="F42" s="112"/>
      <c r="G42" s="112"/>
      <c r="H42" s="112"/>
      <c r="I42" s="112"/>
      <c r="J42" s="113"/>
      <c r="K42" s="11"/>
    </row>
    <row r="43" spans="1:11" ht="35.25" customHeight="1">
      <c r="A43" s="126" t="s">
        <v>14</v>
      </c>
      <c r="B43" s="128"/>
      <c r="C43" s="119" t="str">
        <f>C2</f>
        <v>Date &amp; Session :  19.11.2025 FN</v>
      </c>
      <c r="D43" s="120"/>
      <c r="E43" s="120"/>
      <c r="F43" s="120"/>
      <c r="G43" s="120"/>
      <c r="H43" s="121"/>
      <c r="I43" s="126"/>
      <c r="J43" s="128"/>
      <c r="K43" s="11"/>
    </row>
    <row r="44" spans="1:11" ht="35.25" customHeight="1" thickBot="1">
      <c r="A44" s="117" t="s">
        <v>28</v>
      </c>
      <c r="B44" s="118"/>
      <c r="C44" s="117" t="s">
        <v>29</v>
      </c>
      <c r="D44" s="118"/>
      <c r="E44" s="117" t="s">
        <v>30</v>
      </c>
      <c r="F44" s="118"/>
      <c r="G44" s="117" t="s">
        <v>31</v>
      </c>
      <c r="H44" s="118"/>
      <c r="I44" s="117" t="s">
        <v>32</v>
      </c>
      <c r="J44" s="118"/>
      <c r="K44" s="11"/>
    </row>
    <row r="45" spans="1:11" ht="35.25" customHeight="1" thickTop="1">
      <c r="A45" s="55">
        <v>731122205013</v>
      </c>
      <c r="B45" s="43">
        <v>1</v>
      </c>
      <c r="C45" s="57">
        <f>C47+1</f>
        <v>731122114023</v>
      </c>
      <c r="D45" s="43">
        <v>10</v>
      </c>
      <c r="E45" s="55">
        <f>C46+1</f>
        <v>731122205018</v>
      </c>
      <c r="F45" s="43">
        <v>11</v>
      </c>
      <c r="G45" s="57">
        <f>G47+1+1</f>
        <v>731122114029</v>
      </c>
      <c r="H45" s="43">
        <v>20</v>
      </c>
      <c r="I45" s="55">
        <f>G46+1</f>
        <v>731122205024</v>
      </c>
      <c r="J45" s="43">
        <v>21</v>
      </c>
    </row>
    <row r="46" spans="1:11" ht="35.25" customHeight="1" thickBot="1">
      <c r="A46" s="56">
        <v>731122114018</v>
      </c>
      <c r="B46" s="42">
        <v>2</v>
      </c>
      <c r="C46" s="58">
        <f>C48+1</f>
        <v>731122205017</v>
      </c>
      <c r="D46" s="42">
        <v>9</v>
      </c>
      <c r="E46" s="56">
        <f>C45+1</f>
        <v>731122114024</v>
      </c>
      <c r="F46" s="42">
        <v>12</v>
      </c>
      <c r="G46" s="58">
        <f>G48+1</f>
        <v>731122205023</v>
      </c>
      <c r="H46" s="42">
        <v>19</v>
      </c>
      <c r="I46" s="56">
        <f>G45+1</f>
        <v>731122114030</v>
      </c>
      <c r="J46" s="42">
        <v>22</v>
      </c>
    </row>
    <row r="47" spans="1:11" ht="35.25" customHeight="1" thickTop="1">
      <c r="A47" s="55">
        <f>A45+1</f>
        <v>731122205014</v>
      </c>
      <c r="B47" s="41">
        <v>3</v>
      </c>
      <c r="C47" s="59">
        <f>C49+1</f>
        <v>731122114022</v>
      </c>
      <c r="D47" s="41">
        <v>8</v>
      </c>
      <c r="E47" s="55">
        <f>E45+1+1</f>
        <v>731122205020</v>
      </c>
      <c r="F47" s="41">
        <v>13</v>
      </c>
      <c r="G47" s="59">
        <f>G49+1</f>
        <v>731122114027</v>
      </c>
      <c r="H47" s="41">
        <v>18</v>
      </c>
      <c r="I47" s="55">
        <f>I45+1</f>
        <v>731122205025</v>
      </c>
      <c r="J47" s="41">
        <v>23</v>
      </c>
    </row>
    <row r="48" spans="1:11" ht="35.25" customHeight="1" thickBot="1">
      <c r="A48" s="56">
        <f>A46+1+1</f>
        <v>731122114020</v>
      </c>
      <c r="B48" s="42">
        <v>4</v>
      </c>
      <c r="C48" s="58">
        <f>A49+1</f>
        <v>731122205016</v>
      </c>
      <c r="D48" s="42">
        <v>7</v>
      </c>
      <c r="E48" s="56">
        <f>E46+1</f>
        <v>731122114025</v>
      </c>
      <c r="F48" s="42">
        <v>14</v>
      </c>
      <c r="G48" s="58">
        <f>E49+1</f>
        <v>731122205022</v>
      </c>
      <c r="H48" s="42">
        <v>17</v>
      </c>
      <c r="I48" s="56">
        <f>I46+1+1</f>
        <v>731122114032</v>
      </c>
      <c r="J48" s="42">
        <v>24</v>
      </c>
    </row>
    <row r="49" spans="1:10" ht="35.25" customHeight="1" thickTop="1" thickBot="1">
      <c r="A49" s="55">
        <f>A47+1</f>
        <v>731122205015</v>
      </c>
      <c r="B49" s="44">
        <v>5</v>
      </c>
      <c r="C49" s="60">
        <f>A48+1</f>
        <v>731122114021</v>
      </c>
      <c r="D49" s="44">
        <v>6</v>
      </c>
      <c r="E49" s="55">
        <f>E47+1</f>
        <v>731122205021</v>
      </c>
      <c r="F49" s="44">
        <v>15</v>
      </c>
      <c r="G49" s="60">
        <f>E48+1</f>
        <v>731122114026</v>
      </c>
      <c r="H49" s="44">
        <v>16</v>
      </c>
      <c r="I49" s="55">
        <f>I47+1</f>
        <v>731122205026</v>
      </c>
      <c r="J49" s="44">
        <v>25</v>
      </c>
    </row>
    <row r="50" spans="1:10" ht="35.25" customHeight="1" thickTop="1">
      <c r="A50" s="45"/>
      <c r="B50" s="46"/>
      <c r="C50" s="46"/>
      <c r="D50" s="46"/>
      <c r="E50" s="46"/>
      <c r="F50" s="46"/>
      <c r="G50" s="46"/>
      <c r="H50" s="46"/>
      <c r="I50" s="46"/>
      <c r="J50" s="47"/>
    </row>
    <row r="51" spans="1:10" ht="35.25" customHeight="1">
      <c r="A51" s="30" t="s">
        <v>96</v>
      </c>
      <c r="B51" s="114" t="s">
        <v>152</v>
      </c>
      <c r="C51" s="115"/>
      <c r="D51" s="115"/>
      <c r="E51" s="115"/>
      <c r="F51" s="115"/>
      <c r="G51" s="115"/>
      <c r="H51" s="115"/>
      <c r="I51" s="116"/>
      <c r="J51" s="20">
        <v>12</v>
      </c>
    </row>
    <row r="52" spans="1:10" ht="35.25" customHeight="1">
      <c r="A52" s="30" t="s">
        <v>97</v>
      </c>
      <c r="B52" s="114" t="s">
        <v>164</v>
      </c>
      <c r="C52" s="115"/>
      <c r="D52" s="115"/>
      <c r="E52" s="115"/>
      <c r="F52" s="115"/>
      <c r="G52" s="115"/>
      <c r="H52" s="115"/>
      <c r="I52" s="116"/>
      <c r="J52" s="20">
        <v>13</v>
      </c>
    </row>
    <row r="53" spans="1:10" ht="35.25" customHeight="1">
      <c r="A53" s="15"/>
      <c r="B53" s="16"/>
      <c r="C53" s="16"/>
      <c r="D53" s="16"/>
      <c r="E53" s="16"/>
      <c r="F53" s="16"/>
      <c r="G53" s="48"/>
      <c r="H53" s="25"/>
      <c r="I53" s="25" t="s">
        <v>2</v>
      </c>
      <c r="J53" s="49">
        <v>25</v>
      </c>
    </row>
    <row r="54" spans="1:10" ht="35.25" customHeight="1">
      <c r="A54" s="111" t="str">
        <f>A1</f>
        <v>GCE : : ERODE - 638 316 - ANNA UNIVERSITY EXAMS - HALL  SKETCH - NOV/DEC 2025</v>
      </c>
      <c r="B54" s="112"/>
      <c r="C54" s="112"/>
      <c r="D54" s="112"/>
      <c r="E54" s="112"/>
      <c r="F54" s="112"/>
      <c r="G54" s="112"/>
      <c r="H54" s="112"/>
      <c r="I54" s="112"/>
      <c r="J54" s="113"/>
    </row>
    <row r="55" spans="1:10" ht="35.25" customHeight="1">
      <c r="A55" s="126" t="s">
        <v>15</v>
      </c>
      <c r="B55" s="128"/>
      <c r="C55" s="119" t="str">
        <f>C2</f>
        <v>Date &amp; Session :  19.11.2025 FN</v>
      </c>
      <c r="D55" s="120"/>
      <c r="E55" s="120"/>
      <c r="F55" s="120"/>
      <c r="G55" s="120"/>
      <c r="H55" s="121"/>
      <c r="I55" s="126"/>
      <c r="J55" s="128"/>
    </row>
    <row r="56" spans="1:10" ht="35.25" customHeight="1" thickBot="1">
      <c r="A56" s="117" t="s">
        <v>28</v>
      </c>
      <c r="B56" s="118"/>
      <c r="C56" s="117" t="s">
        <v>29</v>
      </c>
      <c r="D56" s="118"/>
      <c r="E56" s="117" t="s">
        <v>30</v>
      </c>
      <c r="F56" s="118"/>
      <c r="G56" s="117" t="s">
        <v>31</v>
      </c>
      <c r="H56" s="118"/>
      <c r="I56" s="117" t="s">
        <v>32</v>
      </c>
      <c r="J56" s="118"/>
    </row>
    <row r="57" spans="1:10" ht="35.25" customHeight="1" thickTop="1">
      <c r="A57" s="55">
        <v>731122114033</v>
      </c>
      <c r="B57" s="43">
        <v>1</v>
      </c>
      <c r="C57" s="57">
        <f>C59+1</f>
        <v>731122205031</v>
      </c>
      <c r="D57" s="43">
        <v>10</v>
      </c>
      <c r="E57" s="55">
        <f>C58+1+1</f>
        <v>731122114040</v>
      </c>
      <c r="F57" s="43">
        <v>11</v>
      </c>
      <c r="G57" s="57">
        <f>G59+1</f>
        <v>731122205036</v>
      </c>
      <c r="H57" s="43">
        <v>20</v>
      </c>
      <c r="I57" s="55">
        <f>G58+1</f>
        <v>731122114045</v>
      </c>
      <c r="J57" s="43">
        <v>21</v>
      </c>
    </row>
    <row r="58" spans="1:10" ht="35.25" customHeight="1" thickBot="1">
      <c r="A58" s="56">
        <v>731122205027</v>
      </c>
      <c r="B58" s="42">
        <v>2</v>
      </c>
      <c r="C58" s="58">
        <f>C60+1</f>
        <v>731122114038</v>
      </c>
      <c r="D58" s="42">
        <v>9</v>
      </c>
      <c r="E58" s="56">
        <f>C57+1</f>
        <v>731122205032</v>
      </c>
      <c r="F58" s="42">
        <v>12</v>
      </c>
      <c r="G58" s="58">
        <f>G60+1</f>
        <v>731122114044</v>
      </c>
      <c r="H58" s="42">
        <v>19</v>
      </c>
      <c r="I58" s="56">
        <f>G57+1</f>
        <v>731122205037</v>
      </c>
      <c r="J58" s="42">
        <v>22</v>
      </c>
    </row>
    <row r="59" spans="1:10" ht="35.25" customHeight="1" thickTop="1">
      <c r="A59" s="55">
        <f>A57+1</f>
        <v>731122114034</v>
      </c>
      <c r="B59" s="41">
        <v>3</v>
      </c>
      <c r="C59" s="59">
        <f>C61+1</f>
        <v>731122205030</v>
      </c>
      <c r="D59" s="41">
        <v>8</v>
      </c>
      <c r="E59" s="55">
        <f>E57+1</f>
        <v>731122114041</v>
      </c>
      <c r="F59" s="41">
        <v>13</v>
      </c>
      <c r="G59" s="59">
        <f>G61+1</f>
        <v>731122205035</v>
      </c>
      <c r="H59" s="41">
        <v>18</v>
      </c>
      <c r="I59" s="55">
        <f>I57+1</f>
        <v>731122114046</v>
      </c>
      <c r="J59" s="41">
        <v>23</v>
      </c>
    </row>
    <row r="60" spans="1:10" ht="35.25" customHeight="1" thickBot="1">
      <c r="A60" s="56">
        <f>A58+1</f>
        <v>731122205028</v>
      </c>
      <c r="B60" s="42">
        <v>4</v>
      </c>
      <c r="C60" s="58">
        <f>A61+1+1</f>
        <v>731122114037</v>
      </c>
      <c r="D60" s="42">
        <v>7</v>
      </c>
      <c r="E60" s="56">
        <f>E58+1</f>
        <v>731122205033</v>
      </c>
      <c r="F60" s="42">
        <v>14</v>
      </c>
      <c r="G60" s="58">
        <f>E61+1</f>
        <v>731122114043</v>
      </c>
      <c r="H60" s="42">
        <v>17</v>
      </c>
      <c r="I60" s="56">
        <f>I58+1</f>
        <v>731122205038</v>
      </c>
      <c r="J60" s="42">
        <v>24</v>
      </c>
    </row>
    <row r="61" spans="1:10" ht="35.25" customHeight="1" thickTop="1" thickBot="1">
      <c r="A61" s="55">
        <f>A59+1</f>
        <v>731122114035</v>
      </c>
      <c r="B61" s="44">
        <v>5</v>
      </c>
      <c r="C61" s="60">
        <f>A60+1</f>
        <v>731122205029</v>
      </c>
      <c r="D61" s="44">
        <v>6</v>
      </c>
      <c r="E61" s="55">
        <f>E59+1</f>
        <v>731122114042</v>
      </c>
      <c r="F61" s="44">
        <v>15</v>
      </c>
      <c r="G61" s="60">
        <f>E60+1</f>
        <v>731122205034</v>
      </c>
      <c r="H61" s="44">
        <v>16</v>
      </c>
      <c r="I61" s="55">
        <f>I59+1</f>
        <v>731122114047</v>
      </c>
      <c r="J61" s="44">
        <v>25</v>
      </c>
    </row>
    <row r="62" spans="1:10" ht="35.25" customHeight="1" thickTop="1">
      <c r="A62" s="45"/>
      <c r="B62" s="46"/>
      <c r="C62" s="46"/>
      <c r="D62" s="46"/>
      <c r="E62" s="46"/>
      <c r="F62" s="46"/>
      <c r="G62" s="46"/>
      <c r="H62" s="46"/>
      <c r="I62" s="46"/>
      <c r="J62" s="47"/>
    </row>
    <row r="63" spans="1:10" ht="35.25" customHeight="1">
      <c r="A63" s="30" t="s">
        <v>96</v>
      </c>
      <c r="B63" s="114" t="s">
        <v>153</v>
      </c>
      <c r="C63" s="115"/>
      <c r="D63" s="115"/>
      <c r="E63" s="115"/>
      <c r="F63" s="115"/>
      <c r="G63" s="115"/>
      <c r="H63" s="115"/>
      <c r="I63" s="116"/>
      <c r="J63" s="20">
        <v>13</v>
      </c>
    </row>
    <row r="64" spans="1:10" ht="35.25" customHeight="1">
      <c r="A64" s="30" t="s">
        <v>97</v>
      </c>
      <c r="B64" s="122" t="s">
        <v>165</v>
      </c>
      <c r="C64" s="123"/>
      <c r="D64" s="123"/>
      <c r="E64" s="123"/>
      <c r="F64" s="123"/>
      <c r="G64" s="123"/>
      <c r="H64" s="123"/>
      <c r="I64" s="124"/>
      <c r="J64" s="30">
        <v>12</v>
      </c>
    </row>
    <row r="65" spans="1:10" ht="35.25" customHeight="1">
      <c r="A65" s="15"/>
      <c r="B65" s="16"/>
      <c r="C65" s="16"/>
      <c r="D65" s="16"/>
      <c r="E65" s="16"/>
      <c r="F65" s="16"/>
      <c r="G65" s="48"/>
      <c r="H65" s="25"/>
      <c r="I65" s="25" t="s">
        <v>2</v>
      </c>
      <c r="J65" s="49">
        <v>25</v>
      </c>
    </row>
    <row r="66" spans="1:10" ht="35.25" customHeight="1">
      <c r="A66" s="15"/>
      <c r="B66" s="16"/>
      <c r="C66" s="16"/>
      <c r="D66" s="16"/>
      <c r="E66" s="16"/>
      <c r="F66" s="16"/>
      <c r="G66" s="48"/>
      <c r="H66" s="25"/>
      <c r="I66" s="25"/>
      <c r="J66" s="49"/>
    </row>
    <row r="67" spans="1:10" ht="25.5" customHeight="1">
      <c r="A67" s="111" t="str">
        <f>A1</f>
        <v>GCE : : ERODE - 638 316 - ANNA UNIVERSITY EXAMS - HALL  SKETCH - NOV/DEC 2025</v>
      </c>
      <c r="B67" s="112"/>
      <c r="C67" s="112"/>
      <c r="D67" s="112"/>
      <c r="E67" s="112"/>
      <c r="F67" s="112"/>
      <c r="G67" s="112"/>
      <c r="H67" s="112"/>
      <c r="I67" s="112"/>
      <c r="J67" s="113"/>
    </row>
    <row r="68" spans="1:10" ht="27.75" customHeight="1">
      <c r="A68" s="126" t="s">
        <v>16</v>
      </c>
      <c r="B68" s="128"/>
      <c r="C68" s="119" t="str">
        <f>C2</f>
        <v>Date &amp; Session :  19.11.2025 FN</v>
      </c>
      <c r="D68" s="120"/>
      <c r="E68" s="120"/>
      <c r="F68" s="120"/>
      <c r="G68" s="120"/>
      <c r="H68" s="121"/>
      <c r="I68" s="126"/>
      <c r="J68" s="128"/>
    </row>
    <row r="69" spans="1:10" ht="35.25" customHeight="1" thickBot="1">
      <c r="A69" s="117" t="s">
        <v>28</v>
      </c>
      <c r="B69" s="118"/>
      <c r="C69" s="117" t="s">
        <v>29</v>
      </c>
      <c r="D69" s="118"/>
      <c r="E69" s="117" t="s">
        <v>30</v>
      </c>
      <c r="F69" s="118"/>
      <c r="G69" s="117" t="s">
        <v>31</v>
      </c>
      <c r="H69" s="118"/>
      <c r="I69" s="117" t="s">
        <v>32</v>
      </c>
      <c r="J69" s="118"/>
    </row>
    <row r="70" spans="1:10" ht="35.25" customHeight="1" thickTop="1">
      <c r="A70" s="55">
        <v>731122205040</v>
      </c>
      <c r="B70" s="43">
        <v>1</v>
      </c>
      <c r="C70" s="57">
        <f>C72+1</f>
        <v>731122114052</v>
      </c>
      <c r="D70" s="43">
        <v>10</v>
      </c>
      <c r="E70" s="55">
        <f>C71+1</f>
        <v>731122205045</v>
      </c>
      <c r="F70" s="43">
        <v>11</v>
      </c>
      <c r="G70" s="57">
        <v>731122114301</v>
      </c>
      <c r="H70" s="43">
        <v>20</v>
      </c>
      <c r="I70" s="55">
        <f>G71+1</f>
        <v>731122205050</v>
      </c>
      <c r="J70" s="43">
        <v>21</v>
      </c>
    </row>
    <row r="71" spans="1:10" ht="35.25" customHeight="1" thickBot="1">
      <c r="A71" s="56">
        <v>731122114048</v>
      </c>
      <c r="B71" s="42">
        <v>2</v>
      </c>
      <c r="C71" s="58">
        <f>C73+1</f>
        <v>731122205044</v>
      </c>
      <c r="D71" s="42">
        <v>9</v>
      </c>
      <c r="E71" s="56">
        <f>C70+1</f>
        <v>731122114053</v>
      </c>
      <c r="F71" s="42">
        <v>12</v>
      </c>
      <c r="G71" s="58">
        <f>G73+1</f>
        <v>731122205049</v>
      </c>
      <c r="H71" s="42">
        <v>19</v>
      </c>
      <c r="I71" s="56">
        <f>G70+1</f>
        <v>731122114302</v>
      </c>
      <c r="J71" s="42">
        <v>22</v>
      </c>
    </row>
    <row r="72" spans="1:10" ht="35.25" customHeight="1" thickTop="1">
      <c r="A72" s="55">
        <f>A70+1</f>
        <v>731122205041</v>
      </c>
      <c r="B72" s="41">
        <v>3</v>
      </c>
      <c r="C72" s="59">
        <f>C74+1</f>
        <v>731122114051</v>
      </c>
      <c r="D72" s="41">
        <v>8</v>
      </c>
      <c r="E72" s="55">
        <f>E70+1</f>
        <v>731122205046</v>
      </c>
      <c r="F72" s="41">
        <v>13</v>
      </c>
      <c r="G72" s="59">
        <f>G74+1</f>
        <v>731122114056</v>
      </c>
      <c r="H72" s="41">
        <v>18</v>
      </c>
      <c r="I72" s="55">
        <f>I70+1</f>
        <v>731122205051</v>
      </c>
      <c r="J72" s="41">
        <v>23</v>
      </c>
    </row>
    <row r="73" spans="1:10" ht="35.25" customHeight="1" thickBot="1">
      <c r="A73" s="56">
        <f>A71+1</f>
        <v>731122114049</v>
      </c>
      <c r="B73" s="42">
        <v>4</v>
      </c>
      <c r="C73" s="58">
        <f>A74+1</f>
        <v>731122205043</v>
      </c>
      <c r="D73" s="42">
        <v>7</v>
      </c>
      <c r="E73" s="56">
        <f>E71+1</f>
        <v>731122114054</v>
      </c>
      <c r="F73" s="42">
        <v>14</v>
      </c>
      <c r="G73" s="58">
        <f>E74+1</f>
        <v>731122205048</v>
      </c>
      <c r="H73" s="42">
        <v>17</v>
      </c>
      <c r="I73" s="56">
        <f>I71+1</f>
        <v>731122114303</v>
      </c>
      <c r="J73" s="42">
        <v>24</v>
      </c>
    </row>
    <row r="74" spans="1:10" ht="35.25" customHeight="1" thickTop="1" thickBot="1">
      <c r="A74" s="55">
        <f>A72+1</f>
        <v>731122205042</v>
      </c>
      <c r="B74" s="44">
        <v>5</v>
      </c>
      <c r="C74" s="60">
        <f>A73+1</f>
        <v>731122114050</v>
      </c>
      <c r="D74" s="44">
        <v>6</v>
      </c>
      <c r="E74" s="55">
        <f>E72+1</f>
        <v>731122205047</v>
      </c>
      <c r="F74" s="44">
        <v>15</v>
      </c>
      <c r="G74" s="60">
        <f>E73+1</f>
        <v>731122114055</v>
      </c>
      <c r="H74" s="44">
        <v>16</v>
      </c>
      <c r="I74" s="55">
        <f>I72+1</f>
        <v>731122205052</v>
      </c>
      <c r="J74" s="44">
        <v>25</v>
      </c>
    </row>
    <row r="75" spans="1:10" ht="9.75" customHeight="1" thickTop="1">
      <c r="A75" s="45"/>
      <c r="B75" s="46"/>
      <c r="C75" s="46"/>
      <c r="D75" s="46"/>
      <c r="E75" s="46"/>
      <c r="F75" s="46"/>
      <c r="G75" s="46"/>
      <c r="H75" s="46"/>
      <c r="I75" s="46"/>
      <c r="J75" s="47"/>
    </row>
    <row r="76" spans="1:10" ht="27" customHeight="1">
      <c r="A76" s="30" t="s">
        <v>96</v>
      </c>
      <c r="B76" s="114" t="s">
        <v>154</v>
      </c>
      <c r="C76" s="115"/>
      <c r="D76" s="115"/>
      <c r="E76" s="115"/>
      <c r="F76" s="115"/>
      <c r="G76" s="115"/>
      <c r="H76" s="115"/>
      <c r="I76" s="116"/>
      <c r="J76" s="20">
        <v>12</v>
      </c>
    </row>
    <row r="77" spans="1:10" ht="28.5" customHeight="1">
      <c r="A77" s="30" t="s">
        <v>97</v>
      </c>
      <c r="B77" s="122" t="s">
        <v>166</v>
      </c>
      <c r="C77" s="123"/>
      <c r="D77" s="123"/>
      <c r="E77" s="123"/>
      <c r="F77" s="123"/>
      <c r="G77" s="123"/>
      <c r="H77" s="123"/>
      <c r="I77" s="124"/>
      <c r="J77" s="30">
        <v>13</v>
      </c>
    </row>
    <row r="78" spans="1:10" ht="25.5" customHeight="1">
      <c r="A78" s="15"/>
      <c r="B78" s="16"/>
      <c r="C78" s="16"/>
      <c r="D78" s="16"/>
      <c r="E78" s="16"/>
      <c r="F78" s="16"/>
      <c r="G78" s="48"/>
      <c r="H78" s="25"/>
      <c r="I78" s="25" t="s">
        <v>2</v>
      </c>
      <c r="J78" s="49">
        <v>25</v>
      </c>
    </row>
    <row r="79" spans="1:10" ht="28.5" customHeight="1">
      <c r="A79" s="111" t="str">
        <f>A1</f>
        <v>GCE : : ERODE - 638 316 - ANNA UNIVERSITY EXAMS - HALL  SKETCH - NOV/DEC 2025</v>
      </c>
      <c r="B79" s="112"/>
      <c r="C79" s="112"/>
      <c r="D79" s="112"/>
      <c r="E79" s="112"/>
      <c r="F79" s="112"/>
      <c r="G79" s="112"/>
      <c r="H79" s="112"/>
      <c r="I79" s="112"/>
      <c r="J79" s="113"/>
    </row>
    <row r="80" spans="1:10" ht="27" customHeight="1">
      <c r="A80" s="126" t="s">
        <v>18</v>
      </c>
      <c r="B80" s="128"/>
      <c r="C80" s="119" t="str">
        <f>C2</f>
        <v>Date &amp; Session :  19.11.2025 FN</v>
      </c>
      <c r="D80" s="120"/>
      <c r="E80" s="120"/>
      <c r="F80" s="120"/>
      <c r="G80" s="120"/>
      <c r="H80" s="121"/>
      <c r="I80" s="126"/>
      <c r="J80" s="128"/>
    </row>
    <row r="81" spans="1:10" ht="35.25" customHeight="1" thickBot="1">
      <c r="A81" s="117" t="s">
        <v>28</v>
      </c>
      <c r="B81" s="118"/>
      <c r="C81" s="117" t="s">
        <v>29</v>
      </c>
      <c r="D81" s="118"/>
      <c r="E81" s="117" t="s">
        <v>30</v>
      </c>
      <c r="F81" s="118"/>
      <c r="G81" s="117" t="s">
        <v>31</v>
      </c>
      <c r="H81" s="118"/>
      <c r="I81" s="117" t="s">
        <v>32</v>
      </c>
      <c r="J81" s="118"/>
    </row>
    <row r="82" spans="1:10" ht="35.25" customHeight="1" thickTop="1">
      <c r="A82" s="55">
        <v>731122102001</v>
      </c>
      <c r="B82" s="43">
        <v>1</v>
      </c>
      <c r="C82" s="57">
        <f>C84+1</f>
        <v>731122103005</v>
      </c>
      <c r="D82" s="43">
        <v>10</v>
      </c>
      <c r="E82" s="55">
        <f>C83+1</f>
        <v>731122102007</v>
      </c>
      <c r="F82" s="43">
        <v>11</v>
      </c>
      <c r="G82" s="57">
        <f>G84+1</f>
        <v>731122103012</v>
      </c>
      <c r="H82" s="43">
        <v>20</v>
      </c>
      <c r="I82" s="55">
        <f>G83+1</f>
        <v>731122102012</v>
      </c>
      <c r="J82" s="43">
        <v>21</v>
      </c>
    </row>
    <row r="83" spans="1:10" ht="35.25" customHeight="1" thickBot="1">
      <c r="A83" s="56">
        <v>731122103001</v>
      </c>
      <c r="B83" s="42">
        <v>2</v>
      </c>
      <c r="C83" s="58">
        <f>C85+1</f>
        <v>731122102006</v>
      </c>
      <c r="D83" s="42">
        <v>9</v>
      </c>
      <c r="E83" s="56">
        <f>C82+1+1</f>
        <v>731122103007</v>
      </c>
      <c r="F83" s="42">
        <v>12</v>
      </c>
      <c r="G83" s="58">
        <f>G85+1</f>
        <v>731122102011</v>
      </c>
      <c r="H83" s="42">
        <v>19</v>
      </c>
      <c r="I83" s="56">
        <f>G82+1</f>
        <v>731122103013</v>
      </c>
      <c r="J83" s="42">
        <v>22</v>
      </c>
    </row>
    <row r="84" spans="1:10" ht="35.25" customHeight="1" thickTop="1">
      <c r="A84" s="55">
        <f>A82+1</f>
        <v>731122102002</v>
      </c>
      <c r="B84" s="41">
        <v>3</v>
      </c>
      <c r="C84" s="59">
        <f>C86+1</f>
        <v>731122103004</v>
      </c>
      <c r="D84" s="41">
        <v>8</v>
      </c>
      <c r="E84" s="55">
        <f>E82+1</f>
        <v>731122102008</v>
      </c>
      <c r="F84" s="41">
        <v>13</v>
      </c>
      <c r="G84" s="59">
        <f>G86+1</f>
        <v>731122103011</v>
      </c>
      <c r="H84" s="41">
        <v>18</v>
      </c>
      <c r="I84" s="55">
        <f>I82+1+1</f>
        <v>731122102014</v>
      </c>
      <c r="J84" s="41">
        <v>23</v>
      </c>
    </row>
    <row r="85" spans="1:10" ht="35.25" customHeight="1" thickBot="1">
      <c r="A85" s="56">
        <f>A83+1</f>
        <v>731122103002</v>
      </c>
      <c r="B85" s="42">
        <v>4</v>
      </c>
      <c r="C85" s="58">
        <f>A86+1</f>
        <v>731122102005</v>
      </c>
      <c r="D85" s="42">
        <v>7</v>
      </c>
      <c r="E85" s="56">
        <f>E83+1+1</f>
        <v>731122103009</v>
      </c>
      <c r="F85" s="42">
        <v>14</v>
      </c>
      <c r="G85" s="58">
        <f>E86+1</f>
        <v>731122102010</v>
      </c>
      <c r="H85" s="42">
        <v>17</v>
      </c>
      <c r="I85" s="56">
        <f>I83+1</f>
        <v>731122103014</v>
      </c>
      <c r="J85" s="42">
        <v>24</v>
      </c>
    </row>
    <row r="86" spans="1:10" ht="35.25" customHeight="1" thickTop="1" thickBot="1">
      <c r="A86" s="55">
        <f>A84+1+1</f>
        <v>731122102004</v>
      </c>
      <c r="B86" s="44">
        <v>5</v>
      </c>
      <c r="C86" s="60">
        <f>A85+1</f>
        <v>731122103003</v>
      </c>
      <c r="D86" s="44">
        <v>6</v>
      </c>
      <c r="E86" s="55">
        <f>E84+1</f>
        <v>731122102009</v>
      </c>
      <c r="F86" s="44">
        <v>15</v>
      </c>
      <c r="G86" s="60">
        <f>E85+1</f>
        <v>731122103010</v>
      </c>
      <c r="H86" s="44">
        <v>16</v>
      </c>
      <c r="I86" s="55">
        <f>I84+1</f>
        <v>731122102015</v>
      </c>
      <c r="J86" s="44">
        <v>25</v>
      </c>
    </row>
    <row r="87" spans="1:10" ht="8.25" customHeight="1" thickTop="1">
      <c r="A87" s="45"/>
      <c r="B87" s="46"/>
      <c r="C87" s="46"/>
      <c r="D87" s="46"/>
      <c r="E87" s="46"/>
      <c r="F87" s="46"/>
      <c r="G87" s="46"/>
      <c r="H87" s="46"/>
      <c r="I87" s="46"/>
      <c r="J87" s="47"/>
    </row>
    <row r="88" spans="1:10" ht="25.5" customHeight="1">
      <c r="A88" s="30" t="s">
        <v>101</v>
      </c>
      <c r="B88" s="114" t="s">
        <v>102</v>
      </c>
      <c r="C88" s="115"/>
      <c r="D88" s="115"/>
      <c r="E88" s="115"/>
      <c r="F88" s="115"/>
      <c r="G88" s="115"/>
      <c r="H88" s="115"/>
      <c r="I88" s="116"/>
      <c r="J88" s="20">
        <v>13</v>
      </c>
    </row>
    <row r="89" spans="1:10" ht="30" customHeight="1">
      <c r="A89" s="30" t="s">
        <v>112</v>
      </c>
      <c r="B89" s="122" t="s">
        <v>113</v>
      </c>
      <c r="C89" s="123"/>
      <c r="D89" s="123"/>
      <c r="E89" s="123"/>
      <c r="F89" s="123"/>
      <c r="G89" s="123"/>
      <c r="H89" s="123"/>
      <c r="I89" s="124"/>
      <c r="J89" s="30">
        <v>12</v>
      </c>
    </row>
    <row r="90" spans="1:10" ht="27" customHeight="1">
      <c r="A90" s="15"/>
      <c r="B90" s="16"/>
      <c r="C90" s="16"/>
      <c r="D90" s="16"/>
      <c r="E90" s="16"/>
      <c r="F90" s="16"/>
      <c r="G90" s="48"/>
      <c r="H90" s="25"/>
      <c r="I90" s="25" t="s">
        <v>2</v>
      </c>
      <c r="J90" s="49">
        <v>25</v>
      </c>
    </row>
    <row r="91" spans="1:10" ht="25.5" customHeight="1">
      <c r="A91" s="111" t="str">
        <f>A1</f>
        <v>GCE : : ERODE - 638 316 - ANNA UNIVERSITY EXAMS - HALL  SKETCH - NOV/DEC 2025</v>
      </c>
      <c r="B91" s="112"/>
      <c r="C91" s="112"/>
      <c r="D91" s="112"/>
      <c r="E91" s="112"/>
      <c r="F91" s="112"/>
      <c r="G91" s="112"/>
      <c r="H91" s="112"/>
      <c r="I91" s="112"/>
      <c r="J91" s="113"/>
    </row>
    <row r="92" spans="1:10" ht="27.75" customHeight="1">
      <c r="A92" s="126" t="s">
        <v>19</v>
      </c>
      <c r="B92" s="128"/>
      <c r="C92" s="119" t="str">
        <f>C2</f>
        <v>Date &amp; Session :  19.11.2025 FN</v>
      </c>
      <c r="D92" s="120"/>
      <c r="E92" s="120"/>
      <c r="F92" s="120"/>
      <c r="G92" s="120"/>
      <c r="H92" s="121"/>
      <c r="I92" s="126"/>
      <c r="J92" s="128"/>
    </row>
    <row r="93" spans="1:10" ht="35.25" customHeight="1" thickBot="1">
      <c r="A93" s="117" t="s">
        <v>28</v>
      </c>
      <c r="B93" s="118"/>
      <c r="C93" s="117" t="s">
        <v>29</v>
      </c>
      <c r="D93" s="118"/>
      <c r="E93" s="117" t="s">
        <v>30</v>
      </c>
      <c r="F93" s="118"/>
      <c r="G93" s="117" t="s">
        <v>31</v>
      </c>
      <c r="H93" s="118"/>
      <c r="I93" s="117" t="s">
        <v>32</v>
      </c>
      <c r="J93" s="118"/>
    </row>
    <row r="94" spans="1:10" ht="35.25" customHeight="1" thickTop="1">
      <c r="A94" s="96">
        <v>731122103015</v>
      </c>
      <c r="B94" s="97">
        <v>1</v>
      </c>
      <c r="C94" s="98">
        <f>C96+1</f>
        <v>731122102021</v>
      </c>
      <c r="D94" s="50">
        <v>10</v>
      </c>
      <c r="E94" s="96">
        <f>C95+1</f>
        <v>731122103020</v>
      </c>
      <c r="F94" s="97">
        <v>11</v>
      </c>
      <c r="G94" s="98">
        <f>G96+1</f>
        <v>731122102026</v>
      </c>
      <c r="H94" s="50">
        <v>20</v>
      </c>
      <c r="I94" s="96">
        <f>G95+1</f>
        <v>731122103025</v>
      </c>
      <c r="J94" s="97">
        <v>21</v>
      </c>
    </row>
    <row r="95" spans="1:10" ht="35.25" customHeight="1" thickBot="1">
      <c r="A95" s="99">
        <v>731122102016</v>
      </c>
      <c r="B95" s="100">
        <v>2</v>
      </c>
      <c r="C95" s="101">
        <f>C97+1</f>
        <v>731122103019</v>
      </c>
      <c r="D95" s="51">
        <v>9</v>
      </c>
      <c r="E95" s="99">
        <f>C94+1</f>
        <v>731122102022</v>
      </c>
      <c r="F95" s="100">
        <v>12</v>
      </c>
      <c r="G95" s="101">
        <f>G97+1</f>
        <v>731122103024</v>
      </c>
      <c r="H95" s="51">
        <v>19</v>
      </c>
      <c r="I95" s="99">
        <f>G94+1</f>
        <v>731122102027</v>
      </c>
      <c r="J95" s="100">
        <v>22</v>
      </c>
    </row>
    <row r="96" spans="1:10" ht="35.25" customHeight="1" thickTop="1">
      <c r="A96" s="96">
        <f>A94+1</f>
        <v>731122103016</v>
      </c>
      <c r="B96" s="102">
        <v>3</v>
      </c>
      <c r="C96" s="103">
        <f>C98+1+1</f>
        <v>731122102020</v>
      </c>
      <c r="D96" s="52">
        <v>8</v>
      </c>
      <c r="E96" s="96">
        <f>E94+1</f>
        <v>731122103021</v>
      </c>
      <c r="F96" s="102">
        <v>13</v>
      </c>
      <c r="G96" s="103">
        <f>G98+1</f>
        <v>731122102025</v>
      </c>
      <c r="H96" s="52">
        <v>18</v>
      </c>
      <c r="I96" s="96">
        <f>I94+1</f>
        <v>731122103026</v>
      </c>
      <c r="J96" s="102">
        <v>23</v>
      </c>
    </row>
    <row r="97" spans="1:10" ht="35.25" customHeight="1" thickBot="1">
      <c r="A97" s="99">
        <f>A95+1</f>
        <v>731122102017</v>
      </c>
      <c r="B97" s="100">
        <v>4</v>
      </c>
      <c r="C97" s="101">
        <f>A98+1</f>
        <v>731122103018</v>
      </c>
      <c r="D97" s="51">
        <v>7</v>
      </c>
      <c r="E97" s="99">
        <f>E95+1</f>
        <v>731122102023</v>
      </c>
      <c r="F97" s="100">
        <v>14</v>
      </c>
      <c r="G97" s="101">
        <f>E98+1</f>
        <v>731122103023</v>
      </c>
      <c r="H97" s="51">
        <v>17</v>
      </c>
      <c r="I97" s="99">
        <f>I95+1</f>
        <v>731122102028</v>
      </c>
      <c r="J97" s="100">
        <v>24</v>
      </c>
    </row>
    <row r="98" spans="1:10" ht="35.25" customHeight="1" thickTop="1" thickBot="1">
      <c r="A98" s="96">
        <f>A96+1</f>
        <v>731122103017</v>
      </c>
      <c r="B98" s="104">
        <v>5</v>
      </c>
      <c r="C98" s="105">
        <f>A97+1</f>
        <v>731122102018</v>
      </c>
      <c r="D98" s="53">
        <v>6</v>
      </c>
      <c r="E98" s="96">
        <f>E96+1</f>
        <v>731122103022</v>
      </c>
      <c r="F98" s="104">
        <v>15</v>
      </c>
      <c r="G98" s="105">
        <f>E97+1</f>
        <v>731122102024</v>
      </c>
      <c r="H98" s="53">
        <v>16</v>
      </c>
      <c r="I98" s="96">
        <f>I96+1</f>
        <v>731122103027</v>
      </c>
      <c r="J98" s="104">
        <v>25</v>
      </c>
    </row>
    <row r="99" spans="1:10" ht="8.25" customHeight="1" thickTop="1">
      <c r="A99" s="45"/>
      <c r="B99" s="46"/>
      <c r="C99" s="46"/>
      <c r="D99" s="46"/>
      <c r="E99" s="46"/>
      <c r="F99" s="46"/>
      <c r="G99" s="46"/>
      <c r="H99" s="46"/>
      <c r="I99" s="46"/>
      <c r="J99" s="47"/>
    </row>
    <row r="100" spans="1:10" ht="27.75" customHeight="1">
      <c r="A100" s="30" t="s">
        <v>91</v>
      </c>
      <c r="B100" s="114" t="s">
        <v>103</v>
      </c>
      <c r="C100" s="115"/>
      <c r="D100" s="115"/>
      <c r="E100" s="115"/>
      <c r="F100" s="115"/>
      <c r="G100" s="115"/>
      <c r="H100" s="115"/>
      <c r="I100" s="116"/>
      <c r="J100" s="20">
        <v>12</v>
      </c>
    </row>
    <row r="101" spans="1:10" ht="30" customHeight="1">
      <c r="A101" s="30" t="s">
        <v>112</v>
      </c>
      <c r="B101" s="122" t="s">
        <v>114</v>
      </c>
      <c r="C101" s="123"/>
      <c r="D101" s="123"/>
      <c r="E101" s="123"/>
      <c r="F101" s="123"/>
      <c r="G101" s="123"/>
      <c r="H101" s="123"/>
      <c r="I101" s="124"/>
      <c r="J101" s="30">
        <v>13</v>
      </c>
    </row>
    <row r="102" spans="1:10" ht="23.25" customHeight="1">
      <c r="A102" s="15"/>
      <c r="B102" s="16"/>
      <c r="C102" s="16"/>
      <c r="D102" s="16"/>
      <c r="E102" s="16"/>
      <c r="F102" s="16"/>
      <c r="G102" s="48"/>
      <c r="H102" s="25"/>
      <c r="I102" s="25" t="s">
        <v>2</v>
      </c>
      <c r="J102" s="49">
        <v>25</v>
      </c>
    </row>
    <row r="103" spans="1:10" ht="25.5" customHeight="1">
      <c r="A103" s="111" t="str">
        <f>A1</f>
        <v>GCE : : ERODE - 638 316 - ANNA UNIVERSITY EXAMS - HALL  SKETCH - NOV/DEC 2025</v>
      </c>
      <c r="B103" s="112"/>
      <c r="C103" s="112"/>
      <c r="D103" s="112"/>
      <c r="E103" s="112"/>
      <c r="F103" s="112"/>
      <c r="G103" s="112"/>
      <c r="H103" s="112"/>
      <c r="I103" s="112"/>
      <c r="J103" s="113"/>
    </row>
    <row r="104" spans="1:10" ht="27" customHeight="1">
      <c r="A104" s="126" t="s">
        <v>20</v>
      </c>
      <c r="B104" s="128"/>
      <c r="C104" s="119" t="str">
        <f>C2</f>
        <v>Date &amp; Session :  19.11.2025 FN</v>
      </c>
      <c r="D104" s="120"/>
      <c r="E104" s="120"/>
      <c r="F104" s="120"/>
      <c r="G104" s="120"/>
      <c r="H104" s="121"/>
      <c r="I104" s="126"/>
      <c r="J104" s="128"/>
    </row>
    <row r="105" spans="1:10" ht="35.25" customHeight="1" thickBot="1">
      <c r="A105" s="117" t="s">
        <v>28</v>
      </c>
      <c r="B105" s="118"/>
      <c r="C105" s="117" t="s">
        <v>29</v>
      </c>
      <c r="D105" s="118"/>
      <c r="E105" s="117" t="s">
        <v>30</v>
      </c>
      <c r="F105" s="118"/>
      <c r="G105" s="117" t="s">
        <v>31</v>
      </c>
      <c r="H105" s="118"/>
      <c r="I105" s="117" t="s">
        <v>32</v>
      </c>
      <c r="J105" s="118"/>
    </row>
    <row r="106" spans="1:10" ht="35.25" customHeight="1" thickTop="1">
      <c r="A106" s="96">
        <v>731122102029</v>
      </c>
      <c r="B106" s="97">
        <v>1</v>
      </c>
      <c r="C106" s="98">
        <f>C108+1+1</f>
        <v>731122105008</v>
      </c>
      <c r="D106" s="50">
        <v>10</v>
      </c>
      <c r="E106" s="96">
        <f>C107+1</f>
        <v>731122102035</v>
      </c>
      <c r="F106" s="97">
        <v>11</v>
      </c>
      <c r="G106" s="98">
        <f>G108+1</f>
        <v>731122105013</v>
      </c>
      <c r="H106" s="50">
        <v>20</v>
      </c>
      <c r="I106" s="96">
        <f>G107+1</f>
        <v>731122102040</v>
      </c>
      <c r="J106" s="97">
        <v>21</v>
      </c>
    </row>
    <row r="107" spans="1:10" ht="35.25" customHeight="1" thickBot="1">
      <c r="A107" s="99">
        <v>731122105002</v>
      </c>
      <c r="B107" s="100">
        <v>2</v>
      </c>
      <c r="C107" s="101">
        <f>C109+1</f>
        <v>731122102034</v>
      </c>
      <c r="D107" s="51">
        <v>9</v>
      </c>
      <c r="E107" s="99">
        <f>C106+1</f>
        <v>731122105009</v>
      </c>
      <c r="F107" s="100">
        <v>12</v>
      </c>
      <c r="G107" s="101">
        <f>G109+1</f>
        <v>731122102039</v>
      </c>
      <c r="H107" s="51">
        <v>19</v>
      </c>
      <c r="I107" s="99">
        <f>G106+1</f>
        <v>731122105014</v>
      </c>
      <c r="J107" s="100">
        <v>22</v>
      </c>
    </row>
    <row r="108" spans="1:10" ht="35.25" customHeight="1" thickTop="1">
      <c r="A108" s="96">
        <f>A106+1</f>
        <v>731122102030</v>
      </c>
      <c r="B108" s="102">
        <v>3</v>
      </c>
      <c r="C108" s="103">
        <f>C110+1</f>
        <v>731122105006</v>
      </c>
      <c r="D108" s="52">
        <v>8</v>
      </c>
      <c r="E108" s="96">
        <f>E106+1</f>
        <v>731122102036</v>
      </c>
      <c r="F108" s="102">
        <v>13</v>
      </c>
      <c r="G108" s="103">
        <f>G110+1</f>
        <v>731122105012</v>
      </c>
      <c r="H108" s="52">
        <v>18</v>
      </c>
      <c r="I108" s="96">
        <f>I106+1</f>
        <v>731122102041</v>
      </c>
      <c r="J108" s="102">
        <v>23</v>
      </c>
    </row>
    <row r="109" spans="1:10" ht="35.25" customHeight="1" thickBot="1">
      <c r="A109" s="99">
        <f>A107+1</f>
        <v>731122105003</v>
      </c>
      <c r="B109" s="100">
        <v>4</v>
      </c>
      <c r="C109" s="101">
        <f>A110+1+1</f>
        <v>731122102033</v>
      </c>
      <c r="D109" s="51">
        <v>7</v>
      </c>
      <c r="E109" s="99">
        <f>E107+1</f>
        <v>731122105010</v>
      </c>
      <c r="F109" s="100">
        <v>14</v>
      </c>
      <c r="G109" s="101">
        <f>E110+1</f>
        <v>731122102038</v>
      </c>
      <c r="H109" s="51">
        <v>17</v>
      </c>
      <c r="I109" s="99">
        <f>I107+1</f>
        <v>731122105015</v>
      </c>
      <c r="J109" s="100">
        <v>24</v>
      </c>
    </row>
    <row r="110" spans="1:10" ht="35.25" customHeight="1" thickTop="1" thickBot="1">
      <c r="A110" s="96">
        <f>A108+1</f>
        <v>731122102031</v>
      </c>
      <c r="B110" s="104">
        <v>5</v>
      </c>
      <c r="C110" s="105">
        <f>A109+1+1</f>
        <v>731122105005</v>
      </c>
      <c r="D110" s="53">
        <v>6</v>
      </c>
      <c r="E110" s="96">
        <f>E108+1</f>
        <v>731122102037</v>
      </c>
      <c r="F110" s="104">
        <v>15</v>
      </c>
      <c r="G110" s="105">
        <f>E109+1</f>
        <v>731122105011</v>
      </c>
      <c r="H110" s="53">
        <v>16</v>
      </c>
      <c r="I110" s="96">
        <f>I108+1</f>
        <v>731122102042</v>
      </c>
      <c r="J110" s="104">
        <v>25</v>
      </c>
    </row>
    <row r="111" spans="1:10" ht="10.5" customHeight="1" thickTop="1">
      <c r="A111" s="45"/>
      <c r="B111" s="46"/>
      <c r="C111" s="46"/>
      <c r="D111" s="46"/>
      <c r="E111" s="46"/>
      <c r="F111" s="46"/>
      <c r="G111" s="46"/>
      <c r="H111" s="46"/>
      <c r="I111" s="46"/>
      <c r="J111" s="47"/>
    </row>
    <row r="112" spans="1:10" ht="35.25" customHeight="1">
      <c r="A112" s="30" t="s">
        <v>101</v>
      </c>
      <c r="B112" s="114" t="s">
        <v>104</v>
      </c>
      <c r="C112" s="115"/>
      <c r="D112" s="115"/>
      <c r="E112" s="115"/>
      <c r="F112" s="115"/>
      <c r="G112" s="115"/>
      <c r="H112" s="115"/>
      <c r="I112" s="116"/>
      <c r="J112" s="20">
        <v>13</v>
      </c>
    </row>
    <row r="113" spans="1:10" ht="35.25" customHeight="1">
      <c r="A113" s="30" t="s">
        <v>94</v>
      </c>
      <c r="B113" s="122" t="s">
        <v>128</v>
      </c>
      <c r="C113" s="123"/>
      <c r="D113" s="123"/>
      <c r="E113" s="123"/>
      <c r="F113" s="123"/>
      <c r="G113" s="123"/>
      <c r="H113" s="123"/>
      <c r="I113" s="124"/>
      <c r="J113" s="30">
        <v>12</v>
      </c>
    </row>
    <row r="114" spans="1:10" ht="27" customHeight="1">
      <c r="A114" s="15"/>
      <c r="B114" s="16"/>
      <c r="C114" s="16"/>
      <c r="D114" s="16"/>
      <c r="E114" s="16"/>
      <c r="F114" s="16"/>
      <c r="G114" s="48"/>
      <c r="H114" s="25"/>
      <c r="I114" s="25" t="s">
        <v>2</v>
      </c>
      <c r="J114" s="49">
        <v>25</v>
      </c>
    </row>
    <row r="115" spans="1:10" ht="35.25" customHeight="1">
      <c r="A115" s="111" t="str">
        <f>A1</f>
        <v>GCE : : ERODE - 638 316 - ANNA UNIVERSITY EXAMS - HALL  SKETCH - NOV/DEC 2025</v>
      </c>
      <c r="B115" s="112"/>
      <c r="C115" s="112"/>
      <c r="D115" s="112"/>
      <c r="E115" s="112"/>
      <c r="F115" s="112"/>
      <c r="G115" s="112"/>
      <c r="H115" s="112"/>
      <c r="I115" s="112"/>
      <c r="J115" s="113"/>
    </row>
    <row r="116" spans="1:10" ht="35.25" customHeight="1">
      <c r="A116" s="126" t="s">
        <v>17</v>
      </c>
      <c r="B116" s="128"/>
      <c r="C116" s="119" t="str">
        <f>C2</f>
        <v>Date &amp; Session :  19.11.2025 FN</v>
      </c>
      <c r="D116" s="120"/>
      <c r="E116" s="120"/>
      <c r="F116" s="120"/>
      <c r="G116" s="120"/>
      <c r="H116" s="121"/>
      <c r="I116" s="126"/>
      <c r="J116" s="128"/>
    </row>
    <row r="117" spans="1:10" ht="28.5" customHeight="1">
      <c r="A117" s="21"/>
      <c r="B117" s="21"/>
      <c r="C117" s="21"/>
      <c r="D117" s="21"/>
      <c r="E117" s="37" t="s">
        <v>35</v>
      </c>
      <c r="F117" s="21"/>
      <c r="G117" s="21"/>
      <c r="H117" s="21"/>
      <c r="I117" s="21"/>
      <c r="J117" s="21"/>
    </row>
    <row r="118" spans="1:10" ht="35.25" customHeight="1" thickBot="1">
      <c r="A118" s="117" t="s">
        <v>28</v>
      </c>
      <c r="B118" s="118"/>
      <c r="C118" s="117" t="s">
        <v>29</v>
      </c>
      <c r="D118" s="118"/>
      <c r="E118" s="117" t="s">
        <v>30</v>
      </c>
      <c r="F118" s="118"/>
      <c r="G118" s="117" t="s">
        <v>31</v>
      </c>
      <c r="H118" s="118"/>
      <c r="I118" s="117" t="s">
        <v>32</v>
      </c>
      <c r="J118" s="118"/>
    </row>
    <row r="119" spans="1:10" ht="35.25" customHeight="1" thickTop="1">
      <c r="A119" s="55">
        <v>731122105016</v>
      </c>
      <c r="B119" s="43">
        <v>1</v>
      </c>
      <c r="C119" s="57">
        <f>C121+1</f>
        <v>731122102306</v>
      </c>
      <c r="D119" s="43">
        <v>10</v>
      </c>
      <c r="E119" s="55">
        <f>C120+1</f>
        <v>731122105021</v>
      </c>
      <c r="F119" s="43">
        <v>11</v>
      </c>
      <c r="G119" s="57">
        <f>G121+1</f>
        <v>731122102312</v>
      </c>
      <c r="H119" s="43">
        <v>20</v>
      </c>
      <c r="I119" s="55">
        <f>G120+1</f>
        <v>731122105027</v>
      </c>
      <c r="J119" s="43">
        <v>21</v>
      </c>
    </row>
    <row r="120" spans="1:10" ht="35.25" customHeight="1" thickBot="1">
      <c r="A120" s="56">
        <v>731122102043</v>
      </c>
      <c r="B120" s="42">
        <v>2</v>
      </c>
      <c r="C120" s="58">
        <f>C122+1</f>
        <v>731122105020</v>
      </c>
      <c r="D120" s="42">
        <v>9</v>
      </c>
      <c r="E120" s="56">
        <f>C119+1</f>
        <v>731122102307</v>
      </c>
      <c r="F120" s="42">
        <v>12</v>
      </c>
      <c r="G120" s="58">
        <f>G122+1</f>
        <v>731122105026</v>
      </c>
      <c r="H120" s="42">
        <v>19</v>
      </c>
      <c r="I120" s="56">
        <f>G119+1</f>
        <v>731122102313</v>
      </c>
      <c r="J120" s="42">
        <v>22</v>
      </c>
    </row>
    <row r="121" spans="1:10" ht="35.25" customHeight="1" thickTop="1">
      <c r="A121" s="55">
        <f>A119+1</f>
        <v>731122105017</v>
      </c>
      <c r="B121" s="41">
        <v>3</v>
      </c>
      <c r="C121" s="59">
        <f>C123+1</f>
        <v>731122102305</v>
      </c>
      <c r="D121" s="41">
        <v>8</v>
      </c>
      <c r="E121" s="55">
        <f>E119+1</f>
        <v>731122105022</v>
      </c>
      <c r="F121" s="41">
        <v>13</v>
      </c>
      <c r="G121" s="59">
        <f>G123+1</f>
        <v>731122102311</v>
      </c>
      <c r="H121" s="41">
        <v>18</v>
      </c>
      <c r="I121" s="55">
        <f>I119+1</f>
        <v>731122105028</v>
      </c>
      <c r="J121" s="41">
        <v>23</v>
      </c>
    </row>
    <row r="122" spans="1:10" ht="35.25" customHeight="1" thickBot="1">
      <c r="A122" s="56">
        <v>731122102303</v>
      </c>
      <c r="B122" s="42">
        <v>4</v>
      </c>
      <c r="C122" s="58">
        <f>A123+1</f>
        <v>731122105019</v>
      </c>
      <c r="D122" s="42">
        <v>7</v>
      </c>
      <c r="E122" s="56">
        <f>E120+1+1</f>
        <v>731122102309</v>
      </c>
      <c r="F122" s="42">
        <v>14</v>
      </c>
      <c r="G122" s="58">
        <f>E123+1</f>
        <v>731122105025</v>
      </c>
      <c r="H122" s="42">
        <v>17</v>
      </c>
      <c r="I122" s="56">
        <f>I120+1+1</f>
        <v>731122102315</v>
      </c>
      <c r="J122" s="42">
        <v>24</v>
      </c>
    </row>
    <row r="123" spans="1:10" ht="35.25" customHeight="1" thickTop="1" thickBot="1">
      <c r="A123" s="55">
        <f>A121+1</f>
        <v>731122105018</v>
      </c>
      <c r="B123" s="44">
        <v>5</v>
      </c>
      <c r="C123" s="60">
        <f>A122+1</f>
        <v>731122102304</v>
      </c>
      <c r="D123" s="44">
        <v>6</v>
      </c>
      <c r="E123" s="55">
        <f>E121+1+1</f>
        <v>731122105024</v>
      </c>
      <c r="F123" s="44">
        <v>15</v>
      </c>
      <c r="G123" s="60">
        <f>E122+1</f>
        <v>731122102310</v>
      </c>
      <c r="H123" s="44">
        <v>16</v>
      </c>
      <c r="I123" s="55">
        <f>I121+1</f>
        <v>731122105029</v>
      </c>
      <c r="J123" s="44">
        <v>25</v>
      </c>
    </row>
    <row r="124" spans="1:10" ht="27" customHeight="1" thickTop="1">
      <c r="A124" s="21"/>
      <c r="B124" s="21"/>
      <c r="C124" s="21"/>
      <c r="D124" s="21"/>
      <c r="E124" s="37" t="s">
        <v>36</v>
      </c>
      <c r="F124" s="21"/>
      <c r="G124" s="21"/>
      <c r="H124" s="21"/>
      <c r="I124" s="21"/>
      <c r="J124" s="21"/>
    </row>
    <row r="125" spans="1:10" ht="35.25" customHeight="1" thickBot="1">
      <c r="A125" s="117" t="s">
        <v>28</v>
      </c>
      <c r="B125" s="118"/>
      <c r="C125" s="117" t="s">
        <v>29</v>
      </c>
      <c r="D125" s="118"/>
      <c r="E125" s="117" t="s">
        <v>30</v>
      </c>
      <c r="F125" s="118"/>
      <c r="G125" s="117" t="s">
        <v>31</v>
      </c>
      <c r="H125" s="118"/>
      <c r="I125" s="117" t="s">
        <v>32</v>
      </c>
      <c r="J125" s="118"/>
    </row>
    <row r="126" spans="1:10" ht="35.25" customHeight="1" thickTop="1">
      <c r="A126" s="55">
        <v>731122105031</v>
      </c>
      <c r="B126" s="50">
        <v>26</v>
      </c>
      <c r="C126" s="57">
        <f>C128+1</f>
        <v>731122103032</v>
      </c>
      <c r="D126" s="50">
        <v>35</v>
      </c>
      <c r="E126" s="55">
        <f>C127+1</f>
        <v>731122105036</v>
      </c>
      <c r="F126" s="50">
        <v>36</v>
      </c>
      <c r="G126" s="57">
        <f>G128+1</f>
        <v>731122103039</v>
      </c>
      <c r="H126" s="50">
        <v>45</v>
      </c>
      <c r="I126" s="55">
        <f>G127+1</f>
        <v>731122105042</v>
      </c>
      <c r="J126" s="50">
        <v>46</v>
      </c>
    </row>
    <row r="127" spans="1:10" ht="35.25" customHeight="1" thickBot="1">
      <c r="A127" s="56">
        <v>731122103028</v>
      </c>
      <c r="B127" s="51">
        <v>27</v>
      </c>
      <c r="C127" s="58">
        <f>C129+1</f>
        <v>731122105035</v>
      </c>
      <c r="D127" s="51">
        <v>34</v>
      </c>
      <c r="E127" s="56">
        <f>C126+1</f>
        <v>731122103033</v>
      </c>
      <c r="F127" s="51">
        <v>37</v>
      </c>
      <c r="G127" s="58">
        <f>G129+1+1</f>
        <v>731122105041</v>
      </c>
      <c r="H127" s="51">
        <v>44</v>
      </c>
      <c r="I127" s="56">
        <f>G126+1</f>
        <v>731122103040</v>
      </c>
      <c r="J127" s="51">
        <v>47</v>
      </c>
    </row>
    <row r="128" spans="1:10" ht="35.25" customHeight="1" thickTop="1">
      <c r="A128" s="55">
        <f>A126+1</f>
        <v>731122105032</v>
      </c>
      <c r="B128" s="52">
        <v>28</v>
      </c>
      <c r="C128" s="59">
        <f>C130+1</f>
        <v>731122103031</v>
      </c>
      <c r="D128" s="52">
        <v>33</v>
      </c>
      <c r="E128" s="55">
        <f>E126+1</f>
        <v>731122105037</v>
      </c>
      <c r="F128" s="52">
        <v>38</v>
      </c>
      <c r="G128" s="59">
        <f>G130+1</f>
        <v>731122103038</v>
      </c>
      <c r="H128" s="52">
        <v>43</v>
      </c>
      <c r="I128" s="55">
        <f>I126+1</f>
        <v>731122105043</v>
      </c>
      <c r="J128" s="52">
        <v>48</v>
      </c>
    </row>
    <row r="129" spans="1:10" ht="35.25" customHeight="1" thickBot="1">
      <c r="A129" s="56">
        <f>A127+1</f>
        <v>731122103029</v>
      </c>
      <c r="B129" s="51">
        <v>29</v>
      </c>
      <c r="C129" s="58">
        <f>A130+1</f>
        <v>731122105034</v>
      </c>
      <c r="D129" s="51">
        <v>32</v>
      </c>
      <c r="E129" s="56">
        <f>E127+1</f>
        <v>731122103034</v>
      </c>
      <c r="F129" s="51">
        <v>39</v>
      </c>
      <c r="G129" s="58">
        <f>E130+1</f>
        <v>731122105039</v>
      </c>
      <c r="H129" s="51">
        <v>42</v>
      </c>
      <c r="I129" s="56">
        <f>I127+1</f>
        <v>731122103041</v>
      </c>
      <c r="J129" s="51">
        <v>49</v>
      </c>
    </row>
    <row r="130" spans="1:10" ht="35.25" customHeight="1" thickTop="1" thickBot="1">
      <c r="A130" s="55">
        <f>A128+1</f>
        <v>731122105033</v>
      </c>
      <c r="B130" s="53">
        <v>30</v>
      </c>
      <c r="C130" s="60">
        <f>A129+1</f>
        <v>731122103030</v>
      </c>
      <c r="D130" s="53">
        <v>31</v>
      </c>
      <c r="E130" s="55">
        <f>E128+1</f>
        <v>731122105038</v>
      </c>
      <c r="F130" s="53">
        <v>40</v>
      </c>
      <c r="G130" s="60">
        <f>E129+1+2</f>
        <v>731122103037</v>
      </c>
      <c r="H130" s="53">
        <v>41</v>
      </c>
      <c r="I130" s="55">
        <f>I128+1</f>
        <v>731122105044</v>
      </c>
      <c r="J130" s="53">
        <v>50</v>
      </c>
    </row>
    <row r="131" spans="1:10" ht="27" customHeight="1" thickTop="1">
      <c r="A131" s="21"/>
      <c r="B131" s="21"/>
      <c r="C131" s="21"/>
      <c r="D131" s="21"/>
      <c r="E131" s="37" t="s">
        <v>37</v>
      </c>
      <c r="F131" s="21"/>
      <c r="G131" s="21"/>
      <c r="H131" s="21"/>
      <c r="I131" s="21"/>
      <c r="J131" s="21"/>
    </row>
    <row r="132" spans="1:10" ht="35.25" customHeight="1" thickBot="1">
      <c r="A132" s="117" t="s">
        <v>28</v>
      </c>
      <c r="B132" s="118"/>
      <c r="C132" s="117" t="s">
        <v>29</v>
      </c>
      <c r="D132" s="118"/>
      <c r="E132" s="117" t="s">
        <v>30</v>
      </c>
      <c r="F132" s="118"/>
      <c r="G132" s="117" t="s">
        <v>31</v>
      </c>
      <c r="H132" s="118"/>
      <c r="I132" s="117" t="s">
        <v>32</v>
      </c>
      <c r="J132" s="118"/>
    </row>
    <row r="133" spans="1:10" ht="35.25" customHeight="1" thickTop="1">
      <c r="A133" s="55">
        <v>731122103042</v>
      </c>
      <c r="B133" s="50">
        <v>51</v>
      </c>
      <c r="C133" s="57">
        <f>C135+1</f>
        <v>731122105049</v>
      </c>
      <c r="D133" s="50">
        <v>60</v>
      </c>
      <c r="E133" s="55">
        <f>C134+1</f>
        <v>731122103047</v>
      </c>
      <c r="F133" s="50">
        <v>61</v>
      </c>
      <c r="G133" s="57">
        <f>G135+1</f>
        <v>731122105054</v>
      </c>
      <c r="H133" s="50">
        <v>70</v>
      </c>
      <c r="I133" s="55">
        <f>G134+1</f>
        <v>731122103304</v>
      </c>
      <c r="J133" s="50">
        <v>71</v>
      </c>
    </row>
    <row r="134" spans="1:10" ht="35.25" customHeight="1" thickBot="1">
      <c r="A134" s="56">
        <v>731122105045</v>
      </c>
      <c r="B134" s="51">
        <v>52</v>
      </c>
      <c r="C134" s="58">
        <f>C136+1</f>
        <v>731122103046</v>
      </c>
      <c r="D134" s="51">
        <v>59</v>
      </c>
      <c r="E134" s="56">
        <f>C133+1</f>
        <v>731122105050</v>
      </c>
      <c r="F134" s="51">
        <v>62</v>
      </c>
      <c r="G134" s="58">
        <f>G136+1+1</f>
        <v>731122103303</v>
      </c>
      <c r="H134" s="51">
        <v>69</v>
      </c>
      <c r="I134" s="56">
        <f>G133+1</f>
        <v>731122105055</v>
      </c>
      <c r="J134" s="51">
        <v>72</v>
      </c>
    </row>
    <row r="135" spans="1:10" ht="35.25" customHeight="1" thickTop="1">
      <c r="A135" s="55">
        <f>A133+1</f>
        <v>731122103043</v>
      </c>
      <c r="B135" s="52">
        <v>53</v>
      </c>
      <c r="C135" s="59">
        <f>C137+1</f>
        <v>731122105048</v>
      </c>
      <c r="D135" s="52">
        <v>58</v>
      </c>
      <c r="E135" s="55">
        <f>E133+1</f>
        <v>731122103048</v>
      </c>
      <c r="F135" s="52">
        <v>63</v>
      </c>
      <c r="G135" s="59">
        <f>G137+1</f>
        <v>731122105053</v>
      </c>
      <c r="H135" s="52">
        <v>68</v>
      </c>
      <c r="I135" s="55">
        <f>I133+1</f>
        <v>731122103305</v>
      </c>
      <c r="J135" s="52">
        <v>73</v>
      </c>
    </row>
    <row r="136" spans="1:10" ht="35.25" customHeight="1" thickBot="1">
      <c r="A136" s="56">
        <f>A134+1</f>
        <v>731122105046</v>
      </c>
      <c r="B136" s="51">
        <v>54</v>
      </c>
      <c r="C136" s="58">
        <f>A137+1</f>
        <v>731122103045</v>
      </c>
      <c r="D136" s="51">
        <v>57</v>
      </c>
      <c r="E136" s="56">
        <f>E134+1</f>
        <v>731122105051</v>
      </c>
      <c r="F136" s="51">
        <v>64</v>
      </c>
      <c r="G136" s="58">
        <v>731122103301</v>
      </c>
      <c r="H136" s="51">
        <v>67</v>
      </c>
      <c r="I136" s="56">
        <f>I134+1</f>
        <v>731122105056</v>
      </c>
      <c r="J136" s="51">
        <v>74</v>
      </c>
    </row>
    <row r="137" spans="1:10" ht="35.25" customHeight="1" thickTop="1" thickBot="1">
      <c r="A137" s="55">
        <f>A135+1</f>
        <v>731122103044</v>
      </c>
      <c r="B137" s="53">
        <v>55</v>
      </c>
      <c r="C137" s="60">
        <f>A136+1</f>
        <v>731122105047</v>
      </c>
      <c r="D137" s="53">
        <v>56</v>
      </c>
      <c r="E137" s="55">
        <f>E135+1</f>
        <v>731122103049</v>
      </c>
      <c r="F137" s="53">
        <v>65</v>
      </c>
      <c r="G137" s="60">
        <f>E136+1</f>
        <v>731122105052</v>
      </c>
      <c r="H137" s="53">
        <v>66</v>
      </c>
      <c r="I137" s="55">
        <f>I135+1</f>
        <v>731122103306</v>
      </c>
      <c r="J137" s="53">
        <v>75</v>
      </c>
    </row>
    <row r="138" spans="1:10" ht="15" customHeight="1" thickTop="1">
      <c r="I138" s="56"/>
      <c r="J138" s="51"/>
    </row>
    <row r="139" spans="1:10" ht="35.25" customHeight="1">
      <c r="A139" s="91" t="s">
        <v>91</v>
      </c>
      <c r="B139" s="114" t="s">
        <v>105</v>
      </c>
      <c r="C139" s="115"/>
      <c r="D139" s="115"/>
      <c r="E139" s="115"/>
      <c r="F139" s="115"/>
      <c r="G139" s="115"/>
      <c r="H139" s="115"/>
      <c r="I139" s="116"/>
      <c r="J139" s="20">
        <v>12</v>
      </c>
    </row>
    <row r="140" spans="1:10" ht="35.25" customHeight="1">
      <c r="A140" s="91" t="s">
        <v>94</v>
      </c>
      <c r="B140" s="114" t="s">
        <v>129</v>
      </c>
      <c r="C140" s="115"/>
      <c r="D140" s="115"/>
      <c r="E140" s="115"/>
      <c r="F140" s="115"/>
      <c r="G140" s="115"/>
      <c r="H140" s="115"/>
      <c r="I140" s="116"/>
      <c r="J140" s="91">
        <v>38</v>
      </c>
    </row>
    <row r="141" spans="1:10" ht="35.25" customHeight="1">
      <c r="A141" s="30" t="s">
        <v>112</v>
      </c>
      <c r="B141" s="122" t="s">
        <v>115</v>
      </c>
      <c r="C141" s="123"/>
      <c r="D141" s="123"/>
      <c r="E141" s="123"/>
      <c r="F141" s="123"/>
      <c r="G141" s="123"/>
      <c r="H141" s="123"/>
      <c r="I141" s="124"/>
      <c r="J141" s="30">
        <v>25</v>
      </c>
    </row>
    <row r="142" spans="1:10" ht="27.75" customHeight="1">
      <c r="A142" s="15"/>
      <c r="B142" s="16"/>
      <c r="C142" s="16"/>
      <c r="D142" s="16"/>
      <c r="E142" s="16"/>
      <c r="F142" s="16"/>
      <c r="G142" s="36"/>
      <c r="H142" s="25"/>
      <c r="I142" s="25" t="s">
        <v>2</v>
      </c>
      <c r="J142" s="26">
        <v>75</v>
      </c>
    </row>
    <row r="143" spans="1:10" ht="35.25" customHeight="1">
      <c r="A143" s="125" t="str">
        <f>A1</f>
        <v>GCE : : ERODE - 638 316 - ANNA UNIVERSITY EXAMS - HALL  SKETCH - NOV/DEC 2025</v>
      </c>
      <c r="B143" s="125"/>
      <c r="C143" s="125"/>
      <c r="D143" s="125"/>
      <c r="E143" s="125"/>
      <c r="F143" s="125"/>
      <c r="G143" s="125"/>
      <c r="H143" s="125"/>
      <c r="I143" s="125"/>
      <c r="J143" s="125"/>
    </row>
    <row r="144" spans="1:10" ht="35.25" customHeight="1">
      <c r="A144" s="126" t="s">
        <v>43</v>
      </c>
      <c r="B144" s="127"/>
      <c r="C144" s="119" t="str">
        <f>C2</f>
        <v>Date &amp; Session :  19.11.2025 FN</v>
      </c>
      <c r="D144" s="120"/>
      <c r="E144" s="120"/>
      <c r="F144" s="120"/>
      <c r="G144" s="120"/>
      <c r="H144" s="121"/>
      <c r="I144" s="126"/>
      <c r="J144" s="128"/>
    </row>
    <row r="145" spans="1:10" ht="35.25" customHeight="1" thickBot="1">
      <c r="A145" s="117" t="s">
        <v>28</v>
      </c>
      <c r="B145" s="118"/>
      <c r="C145" s="117" t="s">
        <v>29</v>
      </c>
      <c r="D145" s="118"/>
      <c r="E145" s="117" t="s">
        <v>30</v>
      </c>
      <c r="F145" s="118"/>
      <c r="G145" s="117" t="s">
        <v>31</v>
      </c>
      <c r="H145" s="118"/>
      <c r="I145" s="117" t="s">
        <v>32</v>
      </c>
      <c r="J145" s="118"/>
    </row>
    <row r="146" spans="1:10" ht="35.25" customHeight="1" thickTop="1">
      <c r="A146" s="55">
        <v>731122104001</v>
      </c>
      <c r="B146" s="43">
        <v>1</v>
      </c>
      <c r="C146" s="57">
        <f>C148+1</f>
        <v>731122106006</v>
      </c>
      <c r="D146" s="43">
        <v>10</v>
      </c>
      <c r="E146" s="55">
        <f>C147+1</f>
        <v>731122104006</v>
      </c>
      <c r="F146" s="43">
        <v>11</v>
      </c>
      <c r="G146" s="57">
        <f>G148+1</f>
        <v>731122106011</v>
      </c>
      <c r="H146" s="43">
        <v>20</v>
      </c>
      <c r="I146" s="55">
        <f>G147+1</f>
        <v>731122104011</v>
      </c>
      <c r="J146" s="43">
        <v>21</v>
      </c>
    </row>
    <row r="147" spans="1:10" ht="35.25" customHeight="1" thickBot="1">
      <c r="A147" s="56">
        <v>731122106001</v>
      </c>
      <c r="B147" s="42">
        <v>2</v>
      </c>
      <c r="C147" s="58">
        <f>C149+1</f>
        <v>731122104005</v>
      </c>
      <c r="D147" s="42">
        <v>9</v>
      </c>
      <c r="E147" s="56">
        <f>C146+1</f>
        <v>731122106007</v>
      </c>
      <c r="F147" s="42">
        <v>12</v>
      </c>
      <c r="G147" s="58">
        <f>G149+1</f>
        <v>731122104010</v>
      </c>
      <c r="H147" s="42">
        <v>19</v>
      </c>
      <c r="I147" s="56">
        <f>G146+1</f>
        <v>731122106012</v>
      </c>
      <c r="J147" s="42">
        <v>22</v>
      </c>
    </row>
    <row r="148" spans="1:10" ht="35.25" customHeight="1" thickTop="1">
      <c r="A148" s="55">
        <f>A146+1</f>
        <v>731122104002</v>
      </c>
      <c r="B148" s="41">
        <v>3</v>
      </c>
      <c r="C148" s="59">
        <f>C150+1+1</f>
        <v>731122106005</v>
      </c>
      <c r="D148" s="41">
        <v>8</v>
      </c>
      <c r="E148" s="55">
        <f>E146+1</f>
        <v>731122104007</v>
      </c>
      <c r="F148" s="41">
        <v>13</v>
      </c>
      <c r="G148" s="59">
        <f>G150+1</f>
        <v>731122106010</v>
      </c>
      <c r="H148" s="41">
        <v>18</v>
      </c>
      <c r="I148" s="55">
        <f>I146+1</f>
        <v>731122104012</v>
      </c>
      <c r="J148" s="41">
        <v>23</v>
      </c>
    </row>
    <row r="149" spans="1:10" ht="35.25" customHeight="1" thickBot="1">
      <c r="A149" s="56">
        <f>A147+1</f>
        <v>731122106002</v>
      </c>
      <c r="B149" s="42">
        <v>4</v>
      </c>
      <c r="C149" s="58">
        <f>A150+1</f>
        <v>731122104004</v>
      </c>
      <c r="D149" s="42">
        <v>7</v>
      </c>
      <c r="E149" s="56">
        <f>E147+1</f>
        <v>731122106008</v>
      </c>
      <c r="F149" s="42">
        <v>14</v>
      </c>
      <c r="G149" s="58">
        <f>E150+1</f>
        <v>731122104009</v>
      </c>
      <c r="H149" s="42">
        <v>17</v>
      </c>
      <c r="I149" s="56">
        <f>I147+1</f>
        <v>731122106013</v>
      </c>
      <c r="J149" s="42">
        <v>24</v>
      </c>
    </row>
    <row r="150" spans="1:10" ht="35.25" customHeight="1" thickTop="1" thickBot="1">
      <c r="A150" s="55">
        <f>A148+1</f>
        <v>731122104003</v>
      </c>
      <c r="B150" s="44">
        <v>5</v>
      </c>
      <c r="C150" s="60">
        <f>A149+1</f>
        <v>731122106003</v>
      </c>
      <c r="D150" s="44">
        <v>6</v>
      </c>
      <c r="E150" s="55">
        <f>E148+1</f>
        <v>731122104008</v>
      </c>
      <c r="F150" s="44">
        <v>15</v>
      </c>
      <c r="G150" s="60">
        <f>E149+1</f>
        <v>731122106009</v>
      </c>
      <c r="H150" s="44">
        <v>16</v>
      </c>
      <c r="I150" s="55">
        <f>I148+1</f>
        <v>731122104013</v>
      </c>
      <c r="J150" s="44">
        <v>25</v>
      </c>
    </row>
    <row r="151" spans="1:10" ht="35.25" customHeight="1" thickTop="1">
      <c r="A151" s="45"/>
      <c r="B151" s="46"/>
      <c r="C151" s="46"/>
      <c r="D151" s="46"/>
      <c r="E151" s="46"/>
      <c r="F151" s="46"/>
      <c r="G151" s="46"/>
      <c r="H151" s="46"/>
      <c r="I151" s="46"/>
      <c r="J151" s="47"/>
    </row>
    <row r="152" spans="1:10" ht="35.25" customHeight="1">
      <c r="A152" s="30" t="s">
        <v>93</v>
      </c>
      <c r="B152" s="114" t="s">
        <v>124</v>
      </c>
      <c r="C152" s="115"/>
      <c r="D152" s="115"/>
      <c r="E152" s="115"/>
      <c r="F152" s="115"/>
      <c r="G152" s="115"/>
      <c r="H152" s="115"/>
      <c r="I152" s="116"/>
      <c r="J152" s="20">
        <v>13</v>
      </c>
    </row>
    <row r="153" spans="1:10" ht="35.25" customHeight="1">
      <c r="A153" s="30" t="s">
        <v>95</v>
      </c>
      <c r="B153" s="122" t="s">
        <v>142</v>
      </c>
      <c r="C153" s="123"/>
      <c r="D153" s="123"/>
      <c r="E153" s="123"/>
      <c r="F153" s="123"/>
      <c r="G153" s="123"/>
      <c r="H153" s="123"/>
      <c r="I153" s="124"/>
      <c r="J153" s="30">
        <v>12</v>
      </c>
    </row>
    <row r="154" spans="1:10" ht="35.25" customHeight="1">
      <c r="A154" s="15"/>
      <c r="B154" s="16"/>
      <c r="C154" s="16"/>
      <c r="D154" s="16"/>
      <c r="E154" s="16"/>
      <c r="F154" s="16"/>
      <c r="G154" s="48"/>
      <c r="H154" s="25"/>
      <c r="I154" s="25" t="s">
        <v>2</v>
      </c>
      <c r="J154" s="49">
        <v>25</v>
      </c>
    </row>
    <row r="155" spans="1:10" ht="35.25" customHeight="1">
      <c r="A155" s="125" t="str">
        <f>A1</f>
        <v>GCE : : ERODE - 638 316 - ANNA UNIVERSITY EXAMS - HALL  SKETCH - NOV/DEC 2025</v>
      </c>
      <c r="B155" s="125"/>
      <c r="C155" s="125"/>
      <c r="D155" s="125"/>
      <c r="E155" s="125"/>
      <c r="F155" s="125"/>
      <c r="G155" s="125"/>
      <c r="H155" s="125"/>
      <c r="I155" s="125"/>
      <c r="J155" s="125"/>
    </row>
    <row r="156" spans="1:10" ht="35.25" customHeight="1">
      <c r="A156" s="126" t="s">
        <v>44</v>
      </c>
      <c r="B156" s="127"/>
      <c r="C156" s="119" t="str">
        <f>C2</f>
        <v>Date &amp; Session :  19.11.2025 FN</v>
      </c>
      <c r="D156" s="120"/>
      <c r="E156" s="120"/>
      <c r="F156" s="120"/>
      <c r="G156" s="120"/>
      <c r="H156" s="121"/>
      <c r="I156" s="126"/>
      <c r="J156" s="128"/>
    </row>
    <row r="157" spans="1:10" ht="35.25" customHeight="1" thickBot="1">
      <c r="A157" s="117" t="s">
        <v>28</v>
      </c>
      <c r="B157" s="118"/>
      <c r="C157" s="117" t="s">
        <v>29</v>
      </c>
      <c r="D157" s="118"/>
      <c r="E157" s="117" t="s">
        <v>30</v>
      </c>
      <c r="F157" s="118"/>
      <c r="G157" s="117" t="s">
        <v>31</v>
      </c>
      <c r="H157" s="118"/>
      <c r="I157" s="117" t="s">
        <v>32</v>
      </c>
      <c r="J157" s="118"/>
    </row>
    <row r="158" spans="1:10" ht="35.25" customHeight="1" thickTop="1">
      <c r="A158" s="55">
        <v>731122106014</v>
      </c>
      <c r="B158" s="43">
        <v>1</v>
      </c>
      <c r="C158" s="57">
        <f>C160+1</f>
        <v>731122104018</v>
      </c>
      <c r="D158" s="43">
        <v>10</v>
      </c>
      <c r="E158" s="55">
        <f>C159+1</f>
        <v>731122106021</v>
      </c>
      <c r="F158" s="43">
        <v>11</v>
      </c>
      <c r="G158" s="57">
        <f>G160+1</f>
        <v>731122104023</v>
      </c>
      <c r="H158" s="43">
        <v>20</v>
      </c>
      <c r="I158" s="55">
        <f>G159+1</f>
        <v>731122106026</v>
      </c>
      <c r="J158" s="43">
        <v>21</v>
      </c>
    </row>
    <row r="159" spans="1:10" ht="35.25" customHeight="1" thickBot="1">
      <c r="A159" s="56">
        <v>731122104014</v>
      </c>
      <c r="B159" s="42">
        <v>2</v>
      </c>
      <c r="C159" s="58">
        <f>C161+1</f>
        <v>731122106020</v>
      </c>
      <c r="D159" s="42">
        <v>9</v>
      </c>
      <c r="E159" s="56">
        <f>C158+1</f>
        <v>731122104019</v>
      </c>
      <c r="F159" s="42">
        <v>12</v>
      </c>
      <c r="G159" s="58">
        <f>G161+1</f>
        <v>731122106025</v>
      </c>
      <c r="H159" s="42">
        <v>19</v>
      </c>
      <c r="I159" s="56">
        <f>G158+1</f>
        <v>731122104024</v>
      </c>
      <c r="J159" s="42">
        <v>22</v>
      </c>
    </row>
    <row r="160" spans="1:10" ht="35.25" customHeight="1" thickTop="1">
      <c r="A160" s="55">
        <f>A158+1</f>
        <v>731122106015</v>
      </c>
      <c r="B160" s="41">
        <v>3</v>
      </c>
      <c r="C160" s="59">
        <f>C162+1</f>
        <v>731122104017</v>
      </c>
      <c r="D160" s="41">
        <v>8</v>
      </c>
      <c r="E160" s="55">
        <f>E158+1</f>
        <v>731122106022</v>
      </c>
      <c r="F160" s="41">
        <v>13</v>
      </c>
      <c r="G160" s="59">
        <f>G162+1</f>
        <v>731122104022</v>
      </c>
      <c r="H160" s="41">
        <v>18</v>
      </c>
      <c r="I160" s="55">
        <f>I158+1</f>
        <v>731122106027</v>
      </c>
      <c r="J160" s="41">
        <v>23</v>
      </c>
    </row>
    <row r="161" spans="1:10" ht="35.25" customHeight="1" thickBot="1">
      <c r="A161" s="56">
        <f>A159+1</f>
        <v>731122104015</v>
      </c>
      <c r="B161" s="42">
        <v>4</v>
      </c>
      <c r="C161" s="58">
        <f>A162+1+1</f>
        <v>731122106019</v>
      </c>
      <c r="D161" s="42">
        <v>7</v>
      </c>
      <c r="E161" s="56">
        <f>E159+1</f>
        <v>731122104020</v>
      </c>
      <c r="F161" s="42">
        <v>14</v>
      </c>
      <c r="G161" s="58">
        <f>E162+1</f>
        <v>731122106024</v>
      </c>
      <c r="H161" s="42">
        <v>17</v>
      </c>
      <c r="I161" s="56">
        <f>I159+1</f>
        <v>731122104025</v>
      </c>
      <c r="J161" s="42">
        <v>24</v>
      </c>
    </row>
    <row r="162" spans="1:10" ht="35.25" customHeight="1" thickTop="1" thickBot="1">
      <c r="A162" s="55">
        <f>A160+1+1</f>
        <v>731122106017</v>
      </c>
      <c r="B162" s="44">
        <v>5</v>
      </c>
      <c r="C162" s="60">
        <f>A161+1</f>
        <v>731122104016</v>
      </c>
      <c r="D162" s="44">
        <v>6</v>
      </c>
      <c r="E162" s="55">
        <f>E160+1</f>
        <v>731122106023</v>
      </c>
      <c r="F162" s="44">
        <v>15</v>
      </c>
      <c r="G162" s="60">
        <f>E161+1</f>
        <v>731122104021</v>
      </c>
      <c r="H162" s="44">
        <v>16</v>
      </c>
      <c r="I162" s="55">
        <f>I160+1</f>
        <v>731122106028</v>
      </c>
      <c r="J162" s="44">
        <v>25</v>
      </c>
    </row>
    <row r="163" spans="1:10" ht="35.25" customHeight="1" thickTop="1">
      <c r="A163" s="45"/>
      <c r="B163" s="46"/>
      <c r="C163" s="46"/>
      <c r="D163" s="46"/>
      <c r="E163" s="46"/>
      <c r="F163" s="46"/>
      <c r="G163" s="46"/>
      <c r="H163" s="46"/>
      <c r="I163" s="46"/>
      <c r="J163" s="47"/>
    </row>
    <row r="164" spans="1:10" ht="35.25" customHeight="1">
      <c r="A164" s="30" t="s">
        <v>93</v>
      </c>
      <c r="B164" s="114" t="s">
        <v>125</v>
      </c>
      <c r="C164" s="115"/>
      <c r="D164" s="115"/>
      <c r="E164" s="115"/>
      <c r="F164" s="115"/>
      <c r="G164" s="115"/>
      <c r="H164" s="115"/>
      <c r="I164" s="116"/>
      <c r="J164" s="20">
        <v>12</v>
      </c>
    </row>
    <row r="165" spans="1:10" ht="35.25" customHeight="1">
      <c r="A165" s="30" t="s">
        <v>95</v>
      </c>
      <c r="B165" s="122" t="s">
        <v>143</v>
      </c>
      <c r="C165" s="123"/>
      <c r="D165" s="123"/>
      <c r="E165" s="123"/>
      <c r="F165" s="123"/>
      <c r="G165" s="123"/>
      <c r="H165" s="123"/>
      <c r="I165" s="124"/>
      <c r="J165" s="30">
        <v>13</v>
      </c>
    </row>
    <row r="166" spans="1:10" ht="35.25" customHeight="1">
      <c r="A166" s="15"/>
      <c r="B166" s="16"/>
      <c r="C166" s="16"/>
      <c r="D166" s="16"/>
      <c r="E166" s="16"/>
      <c r="F166" s="16"/>
      <c r="G166" s="48"/>
      <c r="H166" s="25"/>
      <c r="I166" s="25" t="s">
        <v>2</v>
      </c>
      <c r="J166" s="49">
        <v>25</v>
      </c>
    </row>
    <row r="167" spans="1:10" ht="35.25" customHeight="1">
      <c r="A167" s="15"/>
      <c r="B167" s="16"/>
      <c r="C167" s="16"/>
      <c r="D167" s="16"/>
      <c r="E167" s="16"/>
      <c r="F167" s="16"/>
      <c r="G167" s="48"/>
      <c r="H167" s="25"/>
      <c r="I167" s="25"/>
      <c r="J167" s="49"/>
    </row>
    <row r="168" spans="1:10" ht="35.25" customHeight="1">
      <c r="A168" s="111" t="str">
        <f>A1</f>
        <v>GCE : : ERODE - 638 316 - ANNA UNIVERSITY EXAMS - HALL  SKETCH - NOV/DEC 2025</v>
      </c>
      <c r="B168" s="112"/>
      <c r="C168" s="112"/>
      <c r="D168" s="112"/>
      <c r="E168" s="112"/>
      <c r="F168" s="112"/>
      <c r="G168" s="112"/>
      <c r="H168" s="112"/>
      <c r="I168" s="112"/>
      <c r="J168" s="113"/>
    </row>
    <row r="169" spans="1:10" ht="35.25" customHeight="1">
      <c r="A169" s="126" t="s">
        <v>45</v>
      </c>
      <c r="B169" s="128"/>
      <c r="C169" s="134" t="str">
        <f>C2</f>
        <v>Date &amp; Session :  19.11.2025 FN</v>
      </c>
      <c r="D169" s="135"/>
      <c r="E169" s="135"/>
      <c r="F169" s="135"/>
      <c r="G169" s="135"/>
      <c r="H169" s="136"/>
      <c r="I169" s="126"/>
      <c r="J169" s="128"/>
    </row>
    <row r="170" spans="1:10" ht="35.25" customHeight="1" thickBot="1">
      <c r="A170" s="117" t="s">
        <v>28</v>
      </c>
      <c r="B170" s="118"/>
      <c r="C170" s="117" t="s">
        <v>29</v>
      </c>
      <c r="D170" s="118"/>
      <c r="E170" s="117" t="s">
        <v>30</v>
      </c>
      <c r="F170" s="118"/>
      <c r="G170" s="117" t="s">
        <v>31</v>
      </c>
      <c r="H170" s="118"/>
      <c r="I170" s="117" t="s">
        <v>32</v>
      </c>
      <c r="J170" s="118"/>
    </row>
    <row r="171" spans="1:10" ht="35.25" customHeight="1" thickTop="1">
      <c r="A171" s="55">
        <v>731122104026</v>
      </c>
      <c r="B171" s="43">
        <v>1</v>
      </c>
      <c r="C171" s="57">
        <f>C173+1</f>
        <v>731122106036</v>
      </c>
      <c r="D171" s="43">
        <v>10</v>
      </c>
      <c r="E171" s="55">
        <f>C172+1</f>
        <v>731122104031</v>
      </c>
      <c r="F171" s="43">
        <v>11</v>
      </c>
      <c r="G171" s="57">
        <f>G173+1</f>
        <v>731122106042</v>
      </c>
      <c r="H171" s="43">
        <v>20</v>
      </c>
      <c r="I171" s="55">
        <f>G172+1</f>
        <v>731122104037</v>
      </c>
      <c r="J171" s="43">
        <v>21</v>
      </c>
    </row>
    <row r="172" spans="1:10" ht="35.25" customHeight="1" thickBot="1">
      <c r="A172" s="56">
        <v>731122106029</v>
      </c>
      <c r="B172" s="42">
        <v>2</v>
      </c>
      <c r="C172" s="58">
        <f>C174+1</f>
        <v>731122104030</v>
      </c>
      <c r="D172" s="42">
        <v>9</v>
      </c>
      <c r="E172" s="56">
        <f>C171+1</f>
        <v>731122106037</v>
      </c>
      <c r="F172" s="42">
        <v>12</v>
      </c>
      <c r="G172" s="58">
        <f>G174+1</f>
        <v>731122104036</v>
      </c>
      <c r="H172" s="42">
        <v>19</v>
      </c>
      <c r="I172" s="56">
        <f>G171+1</f>
        <v>731122106043</v>
      </c>
      <c r="J172" s="42">
        <v>22</v>
      </c>
    </row>
    <row r="173" spans="1:10" ht="35.25" customHeight="1" thickTop="1">
      <c r="A173" s="55">
        <f>A171+1</f>
        <v>731122104027</v>
      </c>
      <c r="B173" s="41">
        <v>3</v>
      </c>
      <c r="C173" s="59">
        <f>C175+1+1</f>
        <v>731122106035</v>
      </c>
      <c r="D173" s="41">
        <v>8</v>
      </c>
      <c r="E173" s="55">
        <f>E171+1</f>
        <v>731122104032</v>
      </c>
      <c r="F173" s="41">
        <v>13</v>
      </c>
      <c r="G173" s="59">
        <f>G175+1+1</f>
        <v>731122106041</v>
      </c>
      <c r="H173" s="41">
        <v>18</v>
      </c>
      <c r="I173" s="55">
        <f>I171+1</f>
        <v>731122104038</v>
      </c>
      <c r="J173" s="41">
        <v>23</v>
      </c>
    </row>
    <row r="174" spans="1:10" ht="35.25" customHeight="1" thickBot="1">
      <c r="A174" s="56">
        <f>A172+1</f>
        <v>731122106030</v>
      </c>
      <c r="B174" s="42">
        <v>4</v>
      </c>
      <c r="C174" s="58">
        <f>A175+1</f>
        <v>731122104029</v>
      </c>
      <c r="D174" s="42">
        <v>7</v>
      </c>
      <c r="E174" s="56">
        <f>E172+1</f>
        <v>731122106038</v>
      </c>
      <c r="F174" s="42">
        <v>14</v>
      </c>
      <c r="G174" s="58">
        <f>E175+1</f>
        <v>731122104035</v>
      </c>
      <c r="H174" s="42">
        <v>17</v>
      </c>
      <c r="I174" s="56">
        <f>I172+1</f>
        <v>731122106044</v>
      </c>
      <c r="J174" s="42">
        <v>24</v>
      </c>
    </row>
    <row r="175" spans="1:10" ht="35.25" customHeight="1" thickTop="1" thickBot="1">
      <c r="A175" s="55">
        <f>A173+1</f>
        <v>731122104028</v>
      </c>
      <c r="B175" s="44">
        <v>5</v>
      </c>
      <c r="C175" s="60">
        <f>A174+1+2</f>
        <v>731122106033</v>
      </c>
      <c r="D175" s="44">
        <v>6</v>
      </c>
      <c r="E175" s="55">
        <f>E173+1+1</f>
        <v>731122104034</v>
      </c>
      <c r="F175" s="44">
        <v>15</v>
      </c>
      <c r="G175" s="60">
        <f>E174+1</f>
        <v>731122106039</v>
      </c>
      <c r="H175" s="44">
        <v>16</v>
      </c>
      <c r="I175" s="55">
        <f>I173+1</f>
        <v>731122104039</v>
      </c>
      <c r="J175" s="44">
        <v>25</v>
      </c>
    </row>
    <row r="176" spans="1:10" ht="35.25" customHeight="1" thickTop="1">
      <c r="A176" s="45"/>
      <c r="B176" s="46"/>
      <c r="C176" s="46"/>
      <c r="D176" s="46"/>
      <c r="E176" s="46"/>
      <c r="F176" s="46"/>
      <c r="G176" s="46"/>
      <c r="H176" s="46"/>
      <c r="I176" s="46"/>
      <c r="J176" s="47"/>
    </row>
    <row r="177" spans="1:23" ht="35.25" customHeight="1">
      <c r="A177" s="30" t="s">
        <v>93</v>
      </c>
      <c r="B177" s="114" t="s">
        <v>126</v>
      </c>
      <c r="C177" s="115"/>
      <c r="D177" s="115"/>
      <c r="E177" s="115"/>
      <c r="F177" s="115"/>
      <c r="G177" s="115"/>
      <c r="H177" s="115"/>
      <c r="I177" s="116"/>
      <c r="J177" s="20">
        <v>13</v>
      </c>
    </row>
    <row r="178" spans="1:23" ht="35.25" customHeight="1">
      <c r="A178" s="30" t="s">
        <v>95</v>
      </c>
      <c r="B178" s="122" t="s">
        <v>144</v>
      </c>
      <c r="C178" s="123"/>
      <c r="D178" s="123"/>
      <c r="E178" s="123"/>
      <c r="F178" s="123"/>
      <c r="G178" s="123"/>
      <c r="H178" s="123"/>
      <c r="I178" s="124"/>
      <c r="J178" s="30">
        <v>12</v>
      </c>
    </row>
    <row r="179" spans="1:23" ht="35.25" customHeight="1" thickBot="1">
      <c r="A179" s="15"/>
      <c r="B179" s="16"/>
      <c r="C179" s="16"/>
      <c r="D179" s="16"/>
      <c r="E179" s="16"/>
      <c r="F179" s="16"/>
      <c r="G179" s="48"/>
      <c r="H179" s="25"/>
      <c r="I179" s="25" t="s">
        <v>2</v>
      </c>
      <c r="J179" s="49">
        <v>25</v>
      </c>
    </row>
    <row r="180" spans="1:23" ht="35.25" customHeight="1" thickTop="1">
      <c r="A180" s="125" t="str">
        <f>A1</f>
        <v>GCE : : ERODE - 638 316 - ANNA UNIVERSITY EXAMS - HALL  SKETCH - NOV/DEC 2025</v>
      </c>
      <c r="B180" s="125"/>
      <c r="C180" s="125"/>
      <c r="D180" s="125"/>
      <c r="E180" s="125"/>
      <c r="F180" s="125"/>
      <c r="G180" s="125"/>
      <c r="H180" s="125"/>
      <c r="I180" s="125"/>
      <c r="J180" s="125"/>
      <c r="N180" s="55"/>
      <c r="O180" s="43"/>
      <c r="P180" s="57"/>
      <c r="Q180" s="43"/>
      <c r="R180" s="55"/>
      <c r="S180" s="43"/>
      <c r="T180" s="57"/>
      <c r="U180" s="43"/>
      <c r="V180" s="55"/>
      <c r="W180" s="43"/>
    </row>
    <row r="181" spans="1:23" ht="35.25" customHeight="1" thickBot="1">
      <c r="A181" s="126" t="s">
        <v>46</v>
      </c>
      <c r="B181" s="127"/>
      <c r="C181" s="134" t="str">
        <f>C2</f>
        <v>Date &amp; Session :  19.11.2025 FN</v>
      </c>
      <c r="D181" s="135"/>
      <c r="E181" s="135"/>
      <c r="F181" s="135"/>
      <c r="G181" s="135"/>
      <c r="H181" s="136"/>
      <c r="I181" s="126"/>
      <c r="J181" s="128"/>
      <c r="N181" s="56"/>
      <c r="O181" s="42"/>
      <c r="P181" s="58"/>
      <c r="Q181" s="42"/>
      <c r="R181" s="56"/>
      <c r="S181" s="42"/>
      <c r="T181" s="58"/>
      <c r="U181" s="42"/>
      <c r="V181" s="56"/>
      <c r="W181" s="42"/>
    </row>
    <row r="182" spans="1:23" ht="35.25" customHeight="1" thickTop="1">
      <c r="A182" s="21"/>
      <c r="B182" s="21"/>
      <c r="C182" s="21"/>
      <c r="D182" s="21"/>
      <c r="E182" s="37" t="s">
        <v>33</v>
      </c>
      <c r="F182" s="21"/>
      <c r="G182" s="21"/>
      <c r="H182" s="21"/>
      <c r="I182" s="21"/>
      <c r="J182" s="21"/>
      <c r="N182" s="55"/>
      <c r="O182" s="41"/>
      <c r="P182" s="59"/>
      <c r="Q182" s="41"/>
      <c r="R182" s="55"/>
      <c r="S182" s="41"/>
      <c r="T182" s="59"/>
      <c r="U182" s="41"/>
      <c r="V182" s="55"/>
      <c r="W182" s="41"/>
    </row>
    <row r="183" spans="1:23" ht="35.25" customHeight="1" thickBot="1">
      <c r="A183" s="132" t="s">
        <v>28</v>
      </c>
      <c r="B183" s="133"/>
      <c r="C183" s="117" t="s">
        <v>29</v>
      </c>
      <c r="D183" s="118"/>
      <c r="E183" s="117" t="s">
        <v>30</v>
      </c>
      <c r="F183" s="118"/>
      <c r="G183" s="117" t="s">
        <v>31</v>
      </c>
      <c r="H183" s="118"/>
      <c r="I183" s="117" t="s">
        <v>32</v>
      </c>
      <c r="J183" s="118"/>
      <c r="N183" s="56"/>
      <c r="O183" s="42"/>
      <c r="P183" s="58"/>
      <c r="Q183" s="42"/>
      <c r="R183" s="56"/>
      <c r="S183" s="42"/>
      <c r="T183" s="58"/>
      <c r="U183" s="42"/>
      <c r="V183" s="56"/>
      <c r="W183" s="42"/>
    </row>
    <row r="184" spans="1:23" ht="35.25" customHeight="1" thickTop="1" thickBot="1">
      <c r="A184" s="55">
        <v>731122106045</v>
      </c>
      <c r="B184" s="43">
        <v>1</v>
      </c>
      <c r="C184" s="57">
        <f>C186+1</f>
        <v>731122104044</v>
      </c>
      <c r="D184" s="43">
        <v>10</v>
      </c>
      <c r="E184" s="55">
        <f>C185+1</f>
        <v>731122106051</v>
      </c>
      <c r="F184" s="43">
        <v>11</v>
      </c>
      <c r="G184" s="57">
        <f>G186+1</f>
        <v>731122104049</v>
      </c>
      <c r="H184" s="43">
        <v>20</v>
      </c>
      <c r="I184" s="55">
        <f>G185+1</f>
        <v>731122106056</v>
      </c>
      <c r="J184" s="43">
        <v>21</v>
      </c>
      <c r="N184" s="55"/>
      <c r="O184" s="44"/>
      <c r="P184" s="60"/>
      <c r="Q184" s="44"/>
      <c r="R184" s="55"/>
      <c r="S184" s="44"/>
      <c r="T184" s="60"/>
      <c r="U184" s="44"/>
      <c r="V184" s="55"/>
      <c r="W184" s="44"/>
    </row>
    <row r="185" spans="1:23" ht="35.25" customHeight="1" thickTop="1" thickBot="1">
      <c r="A185" s="56">
        <v>731122104040</v>
      </c>
      <c r="B185" s="42">
        <v>2</v>
      </c>
      <c r="C185" s="58">
        <f>C187+1+1</f>
        <v>731122106050</v>
      </c>
      <c r="D185" s="42">
        <v>9</v>
      </c>
      <c r="E185" s="56">
        <f>C184+1</f>
        <v>731122104045</v>
      </c>
      <c r="F185" s="42">
        <v>12</v>
      </c>
      <c r="G185" s="58">
        <f>G187+1</f>
        <v>731122106055</v>
      </c>
      <c r="H185" s="42">
        <v>19</v>
      </c>
      <c r="I185" s="56">
        <f>G184+1</f>
        <v>731122104050</v>
      </c>
      <c r="J185" s="42">
        <v>22</v>
      </c>
    </row>
    <row r="186" spans="1:23" ht="35.25" customHeight="1" thickTop="1">
      <c r="A186" s="55">
        <f>A184+1</f>
        <v>731122106046</v>
      </c>
      <c r="B186" s="41">
        <v>3</v>
      </c>
      <c r="C186" s="59">
        <f>C188+1</f>
        <v>731122104043</v>
      </c>
      <c r="D186" s="41">
        <v>8</v>
      </c>
      <c r="E186" s="55">
        <f>E184+1</f>
        <v>731122106052</v>
      </c>
      <c r="F186" s="41">
        <v>13</v>
      </c>
      <c r="G186" s="59">
        <f>G188+1</f>
        <v>731122104048</v>
      </c>
      <c r="H186" s="41">
        <v>18</v>
      </c>
      <c r="I186" s="55">
        <f>I184+1</f>
        <v>731122106057</v>
      </c>
      <c r="J186" s="41">
        <v>23</v>
      </c>
    </row>
    <row r="187" spans="1:23" ht="35.25" customHeight="1" thickBot="1">
      <c r="A187" s="56">
        <f>A185+1</f>
        <v>731122104041</v>
      </c>
      <c r="B187" s="42">
        <v>4</v>
      </c>
      <c r="C187" s="58">
        <f>A188+1</f>
        <v>731122106048</v>
      </c>
      <c r="D187" s="42">
        <v>7</v>
      </c>
      <c r="E187" s="56">
        <f>E185+1</f>
        <v>731122104046</v>
      </c>
      <c r="F187" s="42">
        <v>14</v>
      </c>
      <c r="G187" s="58">
        <f>E188+1</f>
        <v>731122106054</v>
      </c>
      <c r="H187" s="42">
        <v>17</v>
      </c>
      <c r="I187" s="56">
        <f>I185+1</f>
        <v>731122104051</v>
      </c>
      <c r="J187" s="42">
        <v>24</v>
      </c>
    </row>
    <row r="188" spans="1:23" ht="35.25" customHeight="1" thickTop="1" thickBot="1">
      <c r="A188" s="55">
        <f>A186+1</f>
        <v>731122106047</v>
      </c>
      <c r="B188" s="44">
        <v>5</v>
      </c>
      <c r="C188" s="60">
        <f>A187+1</f>
        <v>731122104042</v>
      </c>
      <c r="D188" s="44">
        <v>6</v>
      </c>
      <c r="E188" s="55">
        <f>E186+1</f>
        <v>731122106053</v>
      </c>
      <c r="F188" s="44">
        <v>15</v>
      </c>
      <c r="G188" s="60">
        <f>E187+1</f>
        <v>731122104047</v>
      </c>
      <c r="H188" s="44">
        <v>16</v>
      </c>
      <c r="I188" s="55">
        <v>731122106301</v>
      </c>
      <c r="J188" s="44">
        <v>25</v>
      </c>
    </row>
    <row r="189" spans="1:23" ht="35.25" customHeight="1" thickTop="1">
      <c r="A189" s="21"/>
      <c r="B189" s="21"/>
      <c r="C189" s="21"/>
      <c r="D189" s="21"/>
      <c r="E189" s="37" t="s">
        <v>34</v>
      </c>
      <c r="F189" s="21"/>
      <c r="G189" s="21"/>
      <c r="H189" s="21"/>
      <c r="I189" s="21"/>
      <c r="J189" s="21"/>
    </row>
    <row r="190" spans="1:23" ht="35.25" customHeight="1" thickBot="1">
      <c r="A190" s="132" t="s">
        <v>28</v>
      </c>
      <c r="B190" s="133"/>
      <c r="C190" s="117" t="s">
        <v>29</v>
      </c>
      <c r="D190" s="118"/>
      <c r="E190" s="117" t="s">
        <v>30</v>
      </c>
      <c r="F190" s="118"/>
      <c r="G190" s="117" t="s">
        <v>31</v>
      </c>
      <c r="H190" s="118"/>
      <c r="I190" s="117" t="s">
        <v>32</v>
      </c>
      <c r="J190" s="118"/>
    </row>
    <row r="191" spans="1:23" ht="35.25" customHeight="1" thickTop="1">
      <c r="A191" s="55">
        <v>731122104052</v>
      </c>
      <c r="B191" s="50">
        <v>26</v>
      </c>
      <c r="C191" s="57">
        <f>C193+1</f>
        <v>731122106703</v>
      </c>
      <c r="D191" s="50">
        <v>35</v>
      </c>
      <c r="E191" s="55">
        <f>C192+1</f>
        <v>731122104302</v>
      </c>
      <c r="F191" s="50">
        <v>36</v>
      </c>
      <c r="G191" s="57"/>
      <c r="H191" s="50">
        <v>45</v>
      </c>
      <c r="I191" s="55">
        <f>G192+1</f>
        <v>731122104702</v>
      </c>
      <c r="J191" s="50">
        <v>46</v>
      </c>
    </row>
    <row r="192" spans="1:23" ht="35.25" customHeight="1" thickBot="1">
      <c r="A192" s="56">
        <v>731122106302</v>
      </c>
      <c r="B192" s="51">
        <v>27</v>
      </c>
      <c r="C192" s="58">
        <v>731122104301</v>
      </c>
      <c r="D192" s="51">
        <v>34</v>
      </c>
      <c r="E192" s="56">
        <f>C191+1</f>
        <v>731122106704</v>
      </c>
      <c r="F192" s="51">
        <v>37</v>
      </c>
      <c r="G192" s="58">
        <v>731122104701</v>
      </c>
      <c r="H192" s="51">
        <v>44</v>
      </c>
      <c r="I192" s="56"/>
      <c r="J192" s="51">
        <v>47</v>
      </c>
    </row>
    <row r="193" spans="1:10" ht="35.25" customHeight="1" thickTop="1">
      <c r="A193" s="55">
        <f>A191+1+1</f>
        <v>731122104054</v>
      </c>
      <c r="B193" s="52">
        <v>28</v>
      </c>
      <c r="C193" s="59">
        <f>C195+1</f>
        <v>731122106702</v>
      </c>
      <c r="D193" s="52">
        <v>33</v>
      </c>
      <c r="E193" s="55">
        <f>E191+1</f>
        <v>731122104303</v>
      </c>
      <c r="F193" s="52">
        <v>38</v>
      </c>
      <c r="G193" s="59">
        <f>G195+1</f>
        <v>731122106707</v>
      </c>
      <c r="H193" s="52">
        <v>43</v>
      </c>
      <c r="I193" s="55">
        <f>I191+1</f>
        <v>731122104703</v>
      </c>
      <c r="J193" s="52">
        <v>48</v>
      </c>
    </row>
    <row r="194" spans="1:10" ht="35.25" customHeight="1" thickBot="1">
      <c r="A194" s="56">
        <f>A192+1+1</f>
        <v>731122106304</v>
      </c>
      <c r="B194" s="51">
        <v>29</v>
      </c>
      <c r="C194" s="58">
        <f>A195+1</f>
        <v>731122104057</v>
      </c>
      <c r="D194" s="51">
        <v>32</v>
      </c>
      <c r="E194" s="56">
        <f>E192+1</f>
        <v>731122106705</v>
      </c>
      <c r="F194" s="51">
        <v>39</v>
      </c>
      <c r="G194" s="58">
        <v>731122104401</v>
      </c>
      <c r="H194" s="51">
        <v>42</v>
      </c>
      <c r="I194" s="56"/>
      <c r="J194" s="51">
        <v>49</v>
      </c>
    </row>
    <row r="195" spans="1:10" ht="35.25" customHeight="1" thickTop="1" thickBot="1">
      <c r="A195" s="55">
        <f>A193+1+1</f>
        <v>731122104056</v>
      </c>
      <c r="B195" s="53">
        <v>30</v>
      </c>
      <c r="C195" s="60">
        <v>731122106701</v>
      </c>
      <c r="D195" s="53">
        <v>31</v>
      </c>
      <c r="E195" s="55">
        <f>E193+1</f>
        <v>731122104304</v>
      </c>
      <c r="F195" s="53">
        <v>40</v>
      </c>
      <c r="G195" s="60">
        <f>E194+1</f>
        <v>731122106706</v>
      </c>
      <c r="H195" s="53">
        <v>41</v>
      </c>
      <c r="I195" s="55">
        <f>I193+1</f>
        <v>731122104704</v>
      </c>
      <c r="J195" s="53">
        <v>50</v>
      </c>
    </row>
    <row r="196" spans="1:10" ht="35.25" customHeight="1" thickTop="1"/>
    <row r="197" spans="1:10" ht="48" customHeight="1">
      <c r="A197" s="91" t="s">
        <v>93</v>
      </c>
      <c r="B197" s="129" t="s">
        <v>127</v>
      </c>
      <c r="C197" s="130"/>
      <c r="D197" s="130"/>
      <c r="E197" s="130"/>
      <c r="F197" s="130"/>
      <c r="G197" s="130"/>
      <c r="H197" s="130"/>
      <c r="I197" s="131"/>
      <c r="J197" s="20">
        <v>25</v>
      </c>
    </row>
    <row r="198" spans="1:10" ht="35.25" customHeight="1">
      <c r="A198" s="92" t="s">
        <v>95</v>
      </c>
      <c r="B198" s="114" t="s">
        <v>145</v>
      </c>
      <c r="C198" s="115"/>
      <c r="D198" s="115"/>
      <c r="E198" s="115"/>
      <c r="F198" s="115"/>
      <c r="G198" s="115"/>
      <c r="H198" s="115"/>
      <c r="I198" s="116"/>
      <c r="J198" s="20">
        <v>22</v>
      </c>
    </row>
    <row r="199" spans="1:10" ht="35.25" customHeight="1">
      <c r="A199" s="15"/>
      <c r="B199" s="16"/>
      <c r="C199" s="16"/>
      <c r="D199" s="16"/>
      <c r="E199" s="16"/>
      <c r="F199" s="16"/>
      <c r="G199" s="36"/>
      <c r="H199" s="25"/>
      <c r="I199" s="25" t="s">
        <v>2</v>
      </c>
      <c r="J199" s="26">
        <v>47</v>
      </c>
    </row>
    <row r="200" spans="1:10" ht="35.25" customHeight="1">
      <c r="A200" s="21"/>
      <c r="B200" s="21"/>
      <c r="C200" s="21"/>
      <c r="D200" s="21"/>
      <c r="E200" s="37"/>
      <c r="F200" s="21"/>
      <c r="G200" s="21"/>
      <c r="H200" s="21"/>
      <c r="I200" s="21"/>
      <c r="J200" s="21"/>
    </row>
  </sheetData>
  <mergeCells count="174">
    <mergeCell ref="B140:I140"/>
    <mergeCell ref="B23:I23"/>
    <mergeCell ref="B24:I24"/>
    <mergeCell ref="A157:B157"/>
    <mergeCell ref="C157:D157"/>
    <mergeCell ref="E157:F157"/>
    <mergeCell ref="G157:H157"/>
    <mergeCell ref="I157:J157"/>
    <mergeCell ref="C104:H104"/>
    <mergeCell ref="I55:J55"/>
    <mergeCell ref="A56:B56"/>
    <mergeCell ref="C56:D56"/>
    <mergeCell ref="E56:F56"/>
    <mergeCell ref="G56:H56"/>
    <mergeCell ref="I56:J56"/>
    <mergeCell ref="C55:H55"/>
    <mergeCell ref="B63:I63"/>
    <mergeCell ref="B64:I64"/>
    <mergeCell ref="B100:I100"/>
    <mergeCell ref="B101:I101"/>
    <mergeCell ref="A103:J103"/>
    <mergeCell ref="A67:J67"/>
    <mergeCell ref="A68:B68"/>
    <mergeCell ref="I68:J68"/>
    <mergeCell ref="B164:I164"/>
    <mergeCell ref="B165:I165"/>
    <mergeCell ref="A168:J168"/>
    <mergeCell ref="A190:B190"/>
    <mergeCell ref="A180:J180"/>
    <mergeCell ref="A181:B181"/>
    <mergeCell ref="C181:H181"/>
    <mergeCell ref="I181:J181"/>
    <mergeCell ref="B178:I178"/>
    <mergeCell ref="A169:B169"/>
    <mergeCell ref="C169:H169"/>
    <mergeCell ref="I169:J169"/>
    <mergeCell ref="A170:B170"/>
    <mergeCell ref="C170:D170"/>
    <mergeCell ref="E170:F170"/>
    <mergeCell ref="G170:H170"/>
    <mergeCell ref="I170:J170"/>
    <mergeCell ref="B177:I177"/>
    <mergeCell ref="A69:B69"/>
    <mergeCell ref="A93:B93"/>
    <mergeCell ref="C93:D93"/>
    <mergeCell ref="E93:F93"/>
    <mergeCell ref="G93:H93"/>
    <mergeCell ref="I93:J93"/>
    <mergeCell ref="C68:H68"/>
    <mergeCell ref="C80:H80"/>
    <mergeCell ref="C92:H92"/>
    <mergeCell ref="B89:I89"/>
    <mergeCell ref="A91:J91"/>
    <mergeCell ref="A92:B92"/>
    <mergeCell ref="I92:J92"/>
    <mergeCell ref="C69:D69"/>
    <mergeCell ref="E69:F69"/>
    <mergeCell ref="G69:H69"/>
    <mergeCell ref="I69:J69"/>
    <mergeCell ref="B76:I76"/>
    <mergeCell ref="B77:I77"/>
    <mergeCell ref="A79:J79"/>
    <mergeCell ref="A80:B80"/>
    <mergeCell ref="I80:J80"/>
    <mergeCell ref="B88:I88"/>
    <mergeCell ref="B112:I112"/>
    <mergeCell ref="A183:B183"/>
    <mergeCell ref="C183:D183"/>
    <mergeCell ref="E183:F183"/>
    <mergeCell ref="G183:H183"/>
    <mergeCell ref="I183:J183"/>
    <mergeCell ref="B113:I113"/>
    <mergeCell ref="A115:J115"/>
    <mergeCell ref="A116:B116"/>
    <mergeCell ref="C132:D132"/>
    <mergeCell ref="E132:F132"/>
    <mergeCell ref="G132:H132"/>
    <mergeCell ref="I132:J132"/>
    <mergeCell ref="B139:I139"/>
    <mergeCell ref="B141:I141"/>
    <mergeCell ref="E145:F145"/>
    <mergeCell ref="G145:H145"/>
    <mergeCell ref="I145:J145"/>
    <mergeCell ref="B152:I152"/>
    <mergeCell ref="B153:I153"/>
    <mergeCell ref="A155:J155"/>
    <mergeCell ref="A156:B156"/>
    <mergeCell ref="C156:H156"/>
    <mergeCell ref="C125:D125"/>
    <mergeCell ref="A105:B105"/>
    <mergeCell ref="C105:D105"/>
    <mergeCell ref="A125:B125"/>
    <mergeCell ref="E105:F105"/>
    <mergeCell ref="G105:H105"/>
    <mergeCell ref="I105:J105"/>
    <mergeCell ref="I104:J104"/>
    <mergeCell ref="A104:B104"/>
    <mergeCell ref="B197:I197"/>
    <mergeCell ref="A132:B132"/>
    <mergeCell ref="I125:J125"/>
    <mergeCell ref="E118:F118"/>
    <mergeCell ref="G118:H118"/>
    <mergeCell ref="I118:J118"/>
    <mergeCell ref="C190:D190"/>
    <mergeCell ref="E190:F190"/>
    <mergeCell ref="G190:H190"/>
    <mergeCell ref="I190:J190"/>
    <mergeCell ref="A143:J143"/>
    <mergeCell ref="A144:B144"/>
    <mergeCell ref="C144:H144"/>
    <mergeCell ref="I144:J144"/>
    <mergeCell ref="A145:B145"/>
    <mergeCell ref="C145:D145"/>
    <mergeCell ref="E125:F125"/>
    <mergeCell ref="G125:H125"/>
    <mergeCell ref="I116:J116"/>
    <mergeCell ref="A118:B118"/>
    <mergeCell ref="C118:D118"/>
    <mergeCell ref="C116:H116"/>
    <mergeCell ref="I156:J156"/>
    <mergeCell ref="E32:F32"/>
    <mergeCell ref="G32:H32"/>
    <mergeCell ref="I32:J32"/>
    <mergeCell ref="B39:I39"/>
    <mergeCell ref="A43:B43"/>
    <mergeCell ref="B51:I51"/>
    <mergeCell ref="I43:J43"/>
    <mergeCell ref="A44:B44"/>
    <mergeCell ref="C44:D44"/>
    <mergeCell ref="E44:F44"/>
    <mergeCell ref="G44:H44"/>
    <mergeCell ref="A81:B81"/>
    <mergeCell ref="C81:D81"/>
    <mergeCell ref="E81:F81"/>
    <mergeCell ref="G81:H81"/>
    <mergeCell ref="I81:J81"/>
    <mergeCell ref="A55:B55"/>
    <mergeCell ref="C2:H2"/>
    <mergeCell ref="B198:I198"/>
    <mergeCell ref="A1:J1"/>
    <mergeCell ref="A3:B3"/>
    <mergeCell ref="C3:D3"/>
    <mergeCell ref="E3:F3"/>
    <mergeCell ref="G3:H3"/>
    <mergeCell ref="I3:J3"/>
    <mergeCell ref="A2:B2"/>
    <mergeCell ref="I2:J2"/>
    <mergeCell ref="B10:I10"/>
    <mergeCell ref="C31:H31"/>
    <mergeCell ref="A30:J30"/>
    <mergeCell ref="A31:B31"/>
    <mergeCell ref="I31:J31"/>
    <mergeCell ref="B27:I27"/>
    <mergeCell ref="A14:B14"/>
    <mergeCell ref="I14:J14"/>
    <mergeCell ref="C15:D15"/>
    <mergeCell ref="B11:I11"/>
    <mergeCell ref="A13:J13"/>
    <mergeCell ref="E15:F15"/>
    <mergeCell ref="B22:I22"/>
    <mergeCell ref="C14:H14"/>
    <mergeCell ref="A54:J54"/>
    <mergeCell ref="B25:I25"/>
    <mergeCell ref="B26:I26"/>
    <mergeCell ref="A32:B32"/>
    <mergeCell ref="C32:D32"/>
    <mergeCell ref="A15:B15"/>
    <mergeCell ref="G15:H15"/>
    <mergeCell ref="I15:J15"/>
    <mergeCell ref="B52:I52"/>
    <mergeCell ref="C43:H43"/>
    <mergeCell ref="I44:J44"/>
    <mergeCell ref="B40:I40"/>
    <mergeCell ref="A42:J42"/>
  </mergeCells>
  <printOptions horizontalCentered="1"/>
  <pageMargins left="0.11811023622047245" right="7.874015748031496E-2" top="0.31496062992125984" bottom="0.27559055118110237" header="0.31496062992125984" footer="0.31496062992125984"/>
  <pageSetup paperSize="5" scale="58" orientation="portrait" horizontalDpi="1200" verticalDpi="1200" r:id="rId1"/>
  <headerFooter alignWithMargins="0">
    <oddFooter>Page &amp;P of &amp;N</oddFooter>
  </headerFooter>
  <rowBreaks count="5" manualBreakCount="5">
    <brk id="41" max="9" man="1"/>
    <brk id="78" max="9" man="1"/>
    <brk id="114" max="9" man="1"/>
    <brk id="142" max="16383" man="1"/>
    <brk id="179" max="9" man="1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view="pageBreakPreview" topLeftCell="A37" zoomScale="70" zoomScaleSheetLayoutView="70" workbookViewId="0">
      <selection activeCell="F42" sqref="F42"/>
    </sheetView>
  </sheetViews>
  <sheetFormatPr defaultRowHeight="76.5" customHeight="1"/>
  <cols>
    <col min="1" max="1" width="9.42578125" style="68" customWidth="1"/>
    <col min="2" max="2" width="11.28515625" style="67" customWidth="1"/>
    <col min="3" max="3" width="55.42578125" style="73" customWidth="1"/>
    <col min="4" max="4" width="9.42578125" style="67" customWidth="1"/>
    <col min="5" max="16384" width="9.140625" style="67"/>
  </cols>
  <sheetData>
    <row r="1" spans="1:4" ht="36" customHeight="1">
      <c r="A1" s="69" t="s">
        <v>1</v>
      </c>
      <c r="B1" s="69" t="s">
        <v>4</v>
      </c>
      <c r="C1" s="72" t="s">
        <v>5</v>
      </c>
      <c r="D1" s="70" t="s">
        <v>2</v>
      </c>
    </row>
    <row r="2" spans="1:4" ht="76.5" customHeight="1">
      <c r="A2" s="137" t="s">
        <v>57</v>
      </c>
      <c r="B2" s="71"/>
      <c r="C2" s="61" t="s">
        <v>178</v>
      </c>
      <c r="D2" s="75">
        <v>23</v>
      </c>
    </row>
    <row r="3" spans="1:4" ht="76.5" customHeight="1">
      <c r="A3" s="137"/>
      <c r="B3" s="71"/>
      <c r="C3" s="61"/>
      <c r="D3" s="75"/>
    </row>
    <row r="4" spans="1:4" ht="45" customHeight="1">
      <c r="A4" s="138" t="s">
        <v>179</v>
      </c>
      <c r="B4" s="139"/>
      <c r="C4" s="54" t="s">
        <v>6</v>
      </c>
      <c r="D4" s="75"/>
    </row>
    <row r="5" spans="1:4" ht="76.5" customHeight="1">
      <c r="A5" s="137" t="s">
        <v>58</v>
      </c>
      <c r="B5" s="71"/>
      <c r="C5" s="61" t="s">
        <v>178</v>
      </c>
      <c r="D5" s="76">
        <v>14</v>
      </c>
    </row>
    <row r="6" spans="1:4" ht="76.5" customHeight="1">
      <c r="A6" s="137"/>
      <c r="B6" s="71"/>
      <c r="C6" s="61" t="s">
        <v>169</v>
      </c>
      <c r="D6" s="77">
        <v>3</v>
      </c>
    </row>
    <row r="7" spans="1:4" ht="45" customHeight="1">
      <c r="A7" s="138" t="str">
        <f>A4</f>
        <v xml:space="preserve"> 19.11.25 FN</v>
      </c>
      <c r="B7" s="139"/>
      <c r="C7" s="54" t="s">
        <v>6</v>
      </c>
      <c r="D7" s="75"/>
    </row>
    <row r="8" spans="1:4" ht="76.5" customHeight="1">
      <c r="A8" s="137" t="s">
        <v>49</v>
      </c>
      <c r="B8" s="71"/>
      <c r="C8" s="61" t="s">
        <v>178</v>
      </c>
      <c r="D8" s="76">
        <v>25</v>
      </c>
    </row>
    <row r="9" spans="1:4" ht="76.5" customHeight="1">
      <c r="A9" s="137"/>
      <c r="B9" s="71"/>
      <c r="C9" s="61"/>
      <c r="D9" s="77"/>
    </row>
    <row r="10" spans="1:4" ht="45" customHeight="1">
      <c r="A10" s="138" t="str">
        <f>A7</f>
        <v xml:space="preserve"> 19.11.25 FN</v>
      </c>
      <c r="B10" s="139"/>
      <c r="C10" s="54" t="s">
        <v>6</v>
      </c>
      <c r="D10" s="75"/>
    </row>
    <row r="11" spans="1:4" ht="76.5" customHeight="1">
      <c r="A11" s="140" t="s">
        <v>50</v>
      </c>
      <c r="B11" s="71"/>
      <c r="C11" s="79" t="s">
        <v>178</v>
      </c>
      <c r="D11" s="75">
        <v>25</v>
      </c>
    </row>
    <row r="12" spans="1:4" ht="76.5" customHeight="1">
      <c r="A12" s="141"/>
      <c r="B12" s="71"/>
      <c r="C12" s="78"/>
      <c r="D12" s="75"/>
    </row>
    <row r="13" spans="1:4" ht="45" customHeight="1">
      <c r="A13" s="138" t="str">
        <f>A10</f>
        <v xml:space="preserve"> 19.11.25 FN</v>
      </c>
      <c r="B13" s="139"/>
      <c r="C13" s="54" t="s">
        <v>6</v>
      </c>
      <c r="D13" s="75"/>
    </row>
    <row r="14" spans="1:4" ht="76.5" customHeight="1">
      <c r="A14" s="137" t="s">
        <v>51</v>
      </c>
      <c r="B14" s="74"/>
      <c r="C14" s="61" t="s">
        <v>178</v>
      </c>
      <c r="D14" s="75">
        <v>25</v>
      </c>
    </row>
    <row r="15" spans="1:4" ht="76.5" customHeight="1">
      <c r="A15" s="137"/>
      <c r="B15" s="71"/>
      <c r="C15" s="61"/>
      <c r="D15" s="75"/>
    </row>
    <row r="16" spans="1:4" ht="45" customHeight="1">
      <c r="A16" s="138" t="str">
        <f>A13</f>
        <v xml:space="preserve"> 19.11.25 FN</v>
      </c>
      <c r="B16" s="139"/>
      <c r="C16" s="54" t="s">
        <v>6</v>
      </c>
      <c r="D16" s="75"/>
    </row>
    <row r="17" spans="1:4" ht="76.5" customHeight="1">
      <c r="A17" s="137" t="s">
        <v>52</v>
      </c>
      <c r="B17" s="71"/>
      <c r="C17" s="61" t="s">
        <v>178</v>
      </c>
      <c r="D17" s="75">
        <v>25</v>
      </c>
    </row>
    <row r="18" spans="1:4" ht="76.5" customHeight="1">
      <c r="A18" s="137"/>
      <c r="B18" s="71"/>
      <c r="C18" s="61"/>
      <c r="D18" s="75"/>
    </row>
    <row r="19" spans="1:4" ht="45" customHeight="1">
      <c r="A19" s="138" t="str">
        <f>A16</f>
        <v xml:space="preserve"> 19.11.25 FN</v>
      </c>
      <c r="B19" s="139"/>
      <c r="C19" s="54" t="s">
        <v>6</v>
      </c>
      <c r="D19" s="75"/>
    </row>
    <row r="20" spans="1:4" ht="76.5" customHeight="1">
      <c r="A20" s="142" t="s">
        <v>62</v>
      </c>
      <c r="B20" s="71"/>
      <c r="C20" s="61" t="s">
        <v>178</v>
      </c>
      <c r="D20" s="75">
        <v>25</v>
      </c>
    </row>
    <row r="21" spans="1:4" ht="76.5" customHeight="1">
      <c r="A21" s="143"/>
      <c r="B21" s="71"/>
      <c r="C21" s="61"/>
      <c r="D21" s="75"/>
    </row>
    <row r="22" spans="1:4" ht="45" customHeight="1">
      <c r="A22" s="138" t="str">
        <f>A19</f>
        <v xml:space="preserve"> 19.11.25 FN</v>
      </c>
      <c r="B22" s="139"/>
      <c r="C22" s="54" t="s">
        <v>6</v>
      </c>
      <c r="D22" s="75"/>
    </row>
    <row r="23" spans="1:4" ht="76.5" customHeight="1">
      <c r="A23" s="142" t="s">
        <v>53</v>
      </c>
      <c r="B23" s="71"/>
      <c r="C23" s="61" t="s">
        <v>178</v>
      </c>
      <c r="D23" s="75">
        <v>25</v>
      </c>
    </row>
    <row r="24" spans="1:4" ht="76.5" customHeight="1">
      <c r="A24" s="143"/>
      <c r="B24" s="71"/>
      <c r="C24" s="61"/>
      <c r="D24" s="75"/>
    </row>
    <row r="25" spans="1:4" ht="45" customHeight="1">
      <c r="A25" s="138" t="str">
        <f>A22</f>
        <v xml:space="preserve"> 19.11.25 FN</v>
      </c>
      <c r="B25" s="139"/>
      <c r="C25" s="54" t="s">
        <v>6</v>
      </c>
      <c r="D25" s="75"/>
    </row>
    <row r="26" spans="1:4" ht="76.5" customHeight="1">
      <c r="A26" s="142" t="s">
        <v>54</v>
      </c>
      <c r="B26" s="71"/>
      <c r="C26" s="61" t="s">
        <v>178</v>
      </c>
      <c r="D26" s="75">
        <v>25</v>
      </c>
    </row>
    <row r="27" spans="1:4" ht="76.5" customHeight="1">
      <c r="A27" s="143"/>
      <c r="B27" s="71"/>
      <c r="C27" s="61"/>
      <c r="D27" s="75"/>
    </row>
    <row r="28" spans="1:4" ht="45" customHeight="1">
      <c r="A28" s="138" t="str">
        <f>A25</f>
        <v xml:space="preserve"> 19.11.25 FN</v>
      </c>
      <c r="B28" s="139"/>
      <c r="C28" s="54" t="s">
        <v>6</v>
      </c>
      <c r="D28" s="75"/>
    </row>
    <row r="29" spans="1:4" ht="76.5" customHeight="1">
      <c r="A29" s="142" t="s">
        <v>42</v>
      </c>
      <c r="B29" s="71"/>
      <c r="C29" s="61" t="s">
        <v>178</v>
      </c>
      <c r="D29" s="75">
        <v>47</v>
      </c>
    </row>
    <row r="30" spans="1:4" ht="76.5" customHeight="1">
      <c r="A30" s="143"/>
      <c r="B30" s="71"/>
      <c r="C30" s="61"/>
      <c r="D30" s="75"/>
    </row>
    <row r="31" spans="1:4" ht="45" customHeight="1">
      <c r="A31" s="138" t="str">
        <f>A28</f>
        <v xml:space="preserve"> 19.11.25 FN</v>
      </c>
      <c r="B31" s="139"/>
      <c r="C31" s="54" t="s">
        <v>6</v>
      </c>
      <c r="D31" s="75"/>
    </row>
    <row r="32" spans="1:4" ht="76.5" customHeight="1">
      <c r="A32" s="142" t="s">
        <v>59</v>
      </c>
      <c r="B32" s="71"/>
      <c r="C32" s="61" t="s">
        <v>178</v>
      </c>
      <c r="D32" s="75">
        <v>25</v>
      </c>
    </row>
    <row r="33" spans="1:4" ht="76.5" customHeight="1">
      <c r="A33" s="143"/>
      <c r="B33" s="71"/>
      <c r="C33" s="61"/>
      <c r="D33" s="75"/>
    </row>
    <row r="34" spans="1:4" ht="45" customHeight="1">
      <c r="A34" s="138" t="str">
        <f>A31</f>
        <v xml:space="preserve"> 19.11.25 FN</v>
      </c>
      <c r="B34" s="139"/>
      <c r="C34" s="54" t="s">
        <v>6</v>
      </c>
      <c r="D34" s="75"/>
    </row>
    <row r="35" spans="1:4" ht="76.5" customHeight="1">
      <c r="A35" s="142" t="s">
        <v>60</v>
      </c>
      <c r="B35" s="71"/>
      <c r="C35" s="61" t="s">
        <v>178</v>
      </c>
      <c r="D35" s="75">
        <v>25</v>
      </c>
    </row>
    <row r="36" spans="1:4" ht="76.5" customHeight="1">
      <c r="A36" s="143"/>
      <c r="B36" s="71"/>
      <c r="C36" s="61"/>
      <c r="D36" s="75"/>
    </row>
    <row r="37" spans="1:4" ht="45" customHeight="1">
      <c r="A37" s="138" t="str">
        <f>A34</f>
        <v xml:space="preserve"> 19.11.25 FN</v>
      </c>
      <c r="B37" s="139"/>
      <c r="C37" s="54" t="s">
        <v>6</v>
      </c>
      <c r="D37" s="75"/>
    </row>
    <row r="38" spans="1:4" ht="76.5" customHeight="1">
      <c r="A38" s="142" t="s">
        <v>61</v>
      </c>
      <c r="B38" s="71"/>
      <c r="C38" s="61" t="s">
        <v>178</v>
      </c>
      <c r="D38" s="75">
        <v>25</v>
      </c>
    </row>
    <row r="39" spans="1:4" ht="76.5" customHeight="1">
      <c r="A39" s="143"/>
      <c r="B39" s="71"/>
      <c r="C39" s="61"/>
      <c r="D39" s="75"/>
    </row>
    <row r="40" spans="1:4" ht="45" customHeight="1">
      <c r="A40" s="138" t="str">
        <f>A37</f>
        <v xml:space="preserve"> 19.11.25 FN</v>
      </c>
      <c r="B40" s="139"/>
      <c r="C40" s="54" t="s">
        <v>6</v>
      </c>
      <c r="D40" s="75"/>
    </row>
    <row r="41" spans="1:4" ht="76.5" customHeight="1">
      <c r="A41" s="142" t="s">
        <v>22</v>
      </c>
      <c r="B41" s="71"/>
      <c r="C41" s="61" t="s">
        <v>178</v>
      </c>
      <c r="D41" s="75">
        <v>75</v>
      </c>
    </row>
    <row r="42" spans="1:4" ht="76.5" customHeight="1">
      <c r="A42" s="143"/>
      <c r="B42" s="71"/>
      <c r="C42" s="61"/>
      <c r="D42" s="75"/>
    </row>
    <row r="43" spans="1:4" ht="45" customHeight="1">
      <c r="A43" s="138" t="str">
        <f>A40</f>
        <v xml:space="preserve"> 19.11.25 FN</v>
      </c>
      <c r="B43" s="139"/>
      <c r="C43" s="54" t="s">
        <v>6</v>
      </c>
      <c r="D43" s="75"/>
    </row>
  </sheetData>
  <mergeCells count="28">
    <mergeCell ref="A37:B37"/>
    <mergeCell ref="A41:A42"/>
    <mergeCell ref="A38:A39"/>
    <mergeCell ref="A43:B43"/>
    <mergeCell ref="A40:B40"/>
    <mergeCell ref="A35:A36"/>
    <mergeCell ref="A26:A27"/>
    <mergeCell ref="A29:A30"/>
    <mergeCell ref="A28:B28"/>
    <mergeCell ref="A31:B31"/>
    <mergeCell ref="A34:B34"/>
    <mergeCell ref="A25:B25"/>
    <mergeCell ref="A16:B16"/>
    <mergeCell ref="A19:B19"/>
    <mergeCell ref="A22:B22"/>
    <mergeCell ref="A32:A33"/>
    <mergeCell ref="A13:B13"/>
    <mergeCell ref="A20:A21"/>
    <mergeCell ref="A23:A24"/>
    <mergeCell ref="A14:A15"/>
    <mergeCell ref="A17:A18"/>
    <mergeCell ref="A2:A3"/>
    <mergeCell ref="A4:B4"/>
    <mergeCell ref="A8:A9"/>
    <mergeCell ref="A11:A12"/>
    <mergeCell ref="A5:A6"/>
    <mergeCell ref="A7:B7"/>
    <mergeCell ref="A10:B10"/>
  </mergeCells>
  <pageMargins left="0.7" right="0.7" top="0.75" bottom="0.75" header="0.3" footer="0.3"/>
  <pageSetup paperSize="5" scale="58" orientation="portrait" r:id="rId1"/>
  <rowBreaks count="1" manualBreakCount="1">
    <brk id="2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J61"/>
  <sheetViews>
    <sheetView view="pageBreakPreview" topLeftCell="A19" zoomScale="85" zoomScaleSheetLayoutView="85" workbookViewId="0">
      <selection activeCell="A26" sqref="A26"/>
    </sheetView>
  </sheetViews>
  <sheetFormatPr defaultRowHeight="29.25" customHeight="1"/>
  <cols>
    <col min="1" max="1" width="59.85546875" style="62" customWidth="1"/>
    <col min="2" max="2" width="9.85546875" style="1" customWidth="1"/>
    <col min="3" max="3" width="17" style="1" customWidth="1"/>
    <col min="4" max="5" width="9.140625" style="1"/>
    <col min="6" max="6" width="10.140625" style="1" customWidth="1"/>
    <col min="7" max="7" width="9.140625" style="1"/>
    <col min="8" max="8" width="10" style="1" customWidth="1"/>
    <col min="9" max="16384" width="9.140625" style="1"/>
  </cols>
  <sheetData>
    <row r="1" spans="1:10" ht="29.25" customHeight="1">
      <c r="A1" s="146" t="s">
        <v>81</v>
      </c>
      <c r="B1" s="146"/>
      <c r="C1" s="146"/>
      <c r="F1" s="2" t="s">
        <v>66</v>
      </c>
      <c r="H1" s="2" t="s">
        <v>76</v>
      </c>
      <c r="J1" s="8" t="s">
        <v>72</v>
      </c>
    </row>
    <row r="2" spans="1:10" ht="29.25" customHeight="1">
      <c r="A2" s="146" t="s">
        <v>63</v>
      </c>
      <c r="B2" s="146"/>
      <c r="C2" s="146"/>
      <c r="F2" s="2" t="s">
        <v>67</v>
      </c>
      <c r="H2" s="2" t="s">
        <v>77</v>
      </c>
      <c r="J2" s="8" t="s">
        <v>73</v>
      </c>
    </row>
    <row r="3" spans="1:10" ht="29.25" customHeight="1">
      <c r="A3" s="64"/>
      <c r="B3" s="5"/>
      <c r="C3" s="5"/>
      <c r="F3" s="2" t="s">
        <v>68</v>
      </c>
      <c r="H3" s="2" t="s">
        <v>78</v>
      </c>
      <c r="J3" s="8" t="s">
        <v>74</v>
      </c>
    </row>
    <row r="4" spans="1:10" ht="29.25" customHeight="1">
      <c r="A4" s="147" t="s">
        <v>123</v>
      </c>
      <c r="B4" s="147"/>
      <c r="C4" s="147"/>
      <c r="F4" s="2" t="s">
        <v>69</v>
      </c>
      <c r="H4" s="2"/>
      <c r="J4" s="8" t="s">
        <v>75</v>
      </c>
    </row>
    <row r="5" spans="1:10" ht="29.25" customHeight="1">
      <c r="A5" s="63"/>
      <c r="B5" s="7"/>
      <c r="C5" s="7"/>
      <c r="F5" s="2" t="s">
        <v>70</v>
      </c>
    </row>
    <row r="6" spans="1:10" ht="29.25" customHeight="1">
      <c r="A6" s="65" t="s">
        <v>107</v>
      </c>
      <c r="B6" s="9" t="s">
        <v>3</v>
      </c>
      <c r="C6" s="6">
        <f>SUM(B8:B12)</f>
        <v>55</v>
      </c>
      <c r="F6" s="8" t="s">
        <v>71</v>
      </c>
    </row>
    <row r="7" spans="1:10" ht="29.25" customHeight="1">
      <c r="A7" s="144" t="s">
        <v>0</v>
      </c>
      <c r="B7" s="145"/>
      <c r="C7" s="4" t="s">
        <v>1</v>
      </c>
      <c r="E7" s="2" t="s">
        <v>7</v>
      </c>
      <c r="F7" s="2"/>
      <c r="G7" s="2" t="s">
        <v>38</v>
      </c>
      <c r="H7" s="2"/>
      <c r="I7" s="2" t="s">
        <v>41</v>
      </c>
    </row>
    <row r="8" spans="1:10" ht="29.25" customHeight="1">
      <c r="A8" s="66" t="s">
        <v>108</v>
      </c>
      <c r="B8" s="3">
        <v>13</v>
      </c>
      <c r="C8" s="106" t="s">
        <v>38</v>
      </c>
      <c r="E8" s="2" t="s">
        <v>8</v>
      </c>
      <c r="F8" s="2"/>
      <c r="G8" s="2" t="s">
        <v>39</v>
      </c>
      <c r="H8" s="2"/>
      <c r="I8" s="2" t="s">
        <v>12</v>
      </c>
    </row>
    <row r="9" spans="1:10" ht="29.25" customHeight="1">
      <c r="A9" s="66" t="s">
        <v>109</v>
      </c>
      <c r="B9" s="3">
        <v>12</v>
      </c>
      <c r="C9" s="107" t="s">
        <v>39</v>
      </c>
      <c r="E9" s="2" t="s">
        <v>9</v>
      </c>
      <c r="F9" s="2"/>
      <c r="G9" s="2" t="s">
        <v>47</v>
      </c>
      <c r="H9" s="2"/>
      <c r="I9" s="2" t="s">
        <v>48</v>
      </c>
    </row>
    <row r="10" spans="1:10" ht="29.25" customHeight="1">
      <c r="A10" s="66" t="s">
        <v>110</v>
      </c>
      <c r="B10" s="3">
        <v>13</v>
      </c>
      <c r="C10" s="107" t="s">
        <v>47</v>
      </c>
      <c r="E10" s="2" t="s">
        <v>10</v>
      </c>
      <c r="F10" s="2"/>
      <c r="G10" s="2" t="s">
        <v>40</v>
      </c>
      <c r="H10" s="2"/>
      <c r="I10" s="2"/>
    </row>
    <row r="11" spans="1:10" ht="29.25" customHeight="1">
      <c r="A11" s="66" t="s">
        <v>111</v>
      </c>
      <c r="B11" s="3">
        <v>12</v>
      </c>
      <c r="C11" s="106" t="s">
        <v>82</v>
      </c>
      <c r="E11" s="2" t="s">
        <v>11</v>
      </c>
      <c r="F11" s="2"/>
      <c r="G11" s="2" t="s">
        <v>82</v>
      </c>
      <c r="H11" s="2" t="s">
        <v>84</v>
      </c>
      <c r="I11" s="2"/>
    </row>
    <row r="12" spans="1:10" ht="37.5" customHeight="1">
      <c r="A12" s="66" t="s">
        <v>162</v>
      </c>
      <c r="B12" s="3">
        <v>5</v>
      </c>
      <c r="C12" s="106" t="s">
        <v>8</v>
      </c>
      <c r="E12" s="2" t="s">
        <v>21</v>
      </c>
      <c r="F12" s="2"/>
      <c r="G12" s="2" t="s">
        <v>83</v>
      </c>
      <c r="H12" s="2" t="s">
        <v>22</v>
      </c>
      <c r="I12" s="2"/>
    </row>
    <row r="13" spans="1:10" ht="15.75"/>
    <row r="14" spans="1:10" ht="29.25" customHeight="1">
      <c r="A14" s="65" t="s">
        <v>117</v>
      </c>
      <c r="B14" s="9" t="s">
        <v>3</v>
      </c>
      <c r="C14" s="6">
        <f>SUM(B16:B19)</f>
        <v>52</v>
      </c>
    </row>
    <row r="15" spans="1:10" ht="29.25" customHeight="1">
      <c r="A15" s="144" t="s">
        <v>0</v>
      </c>
      <c r="B15" s="145"/>
      <c r="C15" s="4" t="s">
        <v>1</v>
      </c>
    </row>
    <row r="16" spans="1:10" ht="29.25" customHeight="1">
      <c r="A16" s="66" t="s">
        <v>118</v>
      </c>
      <c r="B16" s="3">
        <v>12</v>
      </c>
      <c r="C16" s="106" t="s">
        <v>38</v>
      </c>
    </row>
    <row r="17" spans="1:3" ht="29.25" customHeight="1">
      <c r="A17" s="66" t="s">
        <v>119</v>
      </c>
      <c r="B17" s="3">
        <v>13</v>
      </c>
      <c r="C17" s="107" t="s">
        <v>39</v>
      </c>
    </row>
    <row r="18" spans="1:3" ht="33.75" customHeight="1">
      <c r="A18" s="66" t="s">
        <v>120</v>
      </c>
      <c r="B18" s="3">
        <v>25</v>
      </c>
      <c r="C18" s="106" t="s">
        <v>122</v>
      </c>
    </row>
    <row r="19" spans="1:3" ht="29.25" customHeight="1">
      <c r="A19" s="66" t="s">
        <v>121</v>
      </c>
      <c r="B19" s="3">
        <v>2</v>
      </c>
      <c r="C19" s="106" t="s">
        <v>8</v>
      </c>
    </row>
    <row r="21" spans="1:3" ht="29.25" customHeight="1">
      <c r="A21" s="65" t="s">
        <v>131</v>
      </c>
      <c r="B21" s="9" t="s">
        <v>3</v>
      </c>
      <c r="C21" s="6">
        <f>SUM(B23:B27)</f>
        <v>65</v>
      </c>
    </row>
    <row r="22" spans="1:3" ht="29.25" customHeight="1">
      <c r="A22" s="144" t="s">
        <v>0</v>
      </c>
      <c r="B22" s="145"/>
      <c r="C22" s="4" t="s">
        <v>1</v>
      </c>
    </row>
    <row r="23" spans="1:3" ht="29.25" customHeight="1">
      <c r="A23" s="66" t="s">
        <v>137</v>
      </c>
      <c r="B23" s="3">
        <v>13</v>
      </c>
      <c r="C23" s="106" t="s">
        <v>66</v>
      </c>
    </row>
    <row r="24" spans="1:3" ht="29.25" customHeight="1">
      <c r="A24" s="66" t="s">
        <v>138</v>
      </c>
      <c r="B24" s="3">
        <v>12</v>
      </c>
      <c r="C24" s="107" t="s">
        <v>67</v>
      </c>
    </row>
    <row r="25" spans="1:3" ht="29.25" customHeight="1">
      <c r="A25" s="66" t="s">
        <v>139</v>
      </c>
      <c r="B25" s="3">
        <v>13</v>
      </c>
      <c r="C25" s="107" t="s">
        <v>68</v>
      </c>
    </row>
    <row r="26" spans="1:3" ht="47.25">
      <c r="A26" s="66" t="s">
        <v>140</v>
      </c>
      <c r="B26" s="3">
        <v>25</v>
      </c>
      <c r="C26" s="106" t="s">
        <v>71</v>
      </c>
    </row>
    <row r="27" spans="1:3" ht="29.25" customHeight="1">
      <c r="A27" s="66" t="s">
        <v>141</v>
      </c>
      <c r="B27" s="3">
        <v>2</v>
      </c>
      <c r="C27" s="106" t="s">
        <v>8</v>
      </c>
    </row>
    <row r="29" spans="1:3" ht="29.25" customHeight="1">
      <c r="A29" s="65" t="s">
        <v>132</v>
      </c>
      <c r="B29" s="9" t="s">
        <v>3</v>
      </c>
      <c r="C29" s="6">
        <f>SUM(B31:B33)</f>
        <v>54</v>
      </c>
    </row>
    <row r="30" spans="1:3" ht="29.25" customHeight="1">
      <c r="A30" s="144" t="s">
        <v>0</v>
      </c>
      <c r="B30" s="145"/>
      <c r="C30" s="4" t="s">
        <v>1</v>
      </c>
    </row>
    <row r="31" spans="1:3" ht="29.25" customHeight="1">
      <c r="A31" s="66" t="s">
        <v>133</v>
      </c>
      <c r="B31" s="3">
        <v>12</v>
      </c>
      <c r="C31" s="106" t="s">
        <v>47</v>
      </c>
    </row>
    <row r="32" spans="1:3" ht="29.25" customHeight="1">
      <c r="A32" s="66" t="s">
        <v>134</v>
      </c>
      <c r="B32" s="3">
        <v>38</v>
      </c>
      <c r="C32" s="106" t="s">
        <v>22</v>
      </c>
    </row>
    <row r="33" spans="1:3" ht="29.25" customHeight="1">
      <c r="A33" s="66" t="s">
        <v>135</v>
      </c>
      <c r="B33" s="3">
        <v>4</v>
      </c>
      <c r="C33" s="106" t="s">
        <v>8</v>
      </c>
    </row>
    <row r="35" spans="1:3" ht="29.25" customHeight="1">
      <c r="A35" s="65" t="s">
        <v>146</v>
      </c>
      <c r="B35" s="9" t="s">
        <v>3</v>
      </c>
      <c r="C35" s="6">
        <f>SUM(B37:B40)</f>
        <v>59</v>
      </c>
    </row>
    <row r="36" spans="1:3" ht="29.25" customHeight="1">
      <c r="A36" s="144" t="s">
        <v>0</v>
      </c>
      <c r="B36" s="145"/>
      <c r="C36" s="4" t="s">
        <v>1</v>
      </c>
    </row>
    <row r="37" spans="1:3" ht="29.25" customHeight="1">
      <c r="A37" s="66" t="s">
        <v>147</v>
      </c>
      <c r="B37" s="3">
        <v>12</v>
      </c>
      <c r="C37" s="106" t="s">
        <v>66</v>
      </c>
    </row>
    <row r="38" spans="1:3" ht="29.25" customHeight="1">
      <c r="A38" s="66" t="s">
        <v>148</v>
      </c>
      <c r="B38" s="3">
        <v>13</v>
      </c>
      <c r="C38" s="107" t="s">
        <v>67</v>
      </c>
    </row>
    <row r="39" spans="1:3" ht="29.25" customHeight="1">
      <c r="A39" s="66" t="s">
        <v>149</v>
      </c>
      <c r="B39" s="3">
        <v>12</v>
      </c>
      <c r="C39" s="107" t="s">
        <v>68</v>
      </c>
    </row>
    <row r="40" spans="1:3" ht="31.5">
      <c r="A40" s="66" t="s">
        <v>150</v>
      </c>
      <c r="B40" s="3">
        <v>22</v>
      </c>
      <c r="C40" s="106" t="s">
        <v>71</v>
      </c>
    </row>
    <row r="42" spans="1:3" ht="29.25" customHeight="1">
      <c r="A42" s="65" t="s">
        <v>156</v>
      </c>
      <c r="B42" s="9" t="s">
        <v>3</v>
      </c>
      <c r="C42" s="6">
        <f>SUM(B44:B48)</f>
        <v>60</v>
      </c>
    </row>
    <row r="43" spans="1:3" ht="29.25" customHeight="1">
      <c r="A43" s="144" t="s">
        <v>0</v>
      </c>
      <c r="B43" s="145"/>
      <c r="C43" s="4" t="s">
        <v>1</v>
      </c>
    </row>
    <row r="44" spans="1:3" ht="29.25" customHeight="1">
      <c r="A44" s="66" t="s">
        <v>157</v>
      </c>
      <c r="B44" s="3">
        <v>13</v>
      </c>
      <c r="C44" s="106" t="s">
        <v>9</v>
      </c>
    </row>
    <row r="45" spans="1:3" ht="29.25" customHeight="1">
      <c r="A45" s="66" t="s">
        <v>158</v>
      </c>
      <c r="B45" s="3">
        <v>12</v>
      </c>
      <c r="C45" s="107" t="s">
        <v>10</v>
      </c>
    </row>
    <row r="46" spans="1:3" ht="29.25" customHeight="1">
      <c r="A46" s="66" t="s">
        <v>159</v>
      </c>
      <c r="B46" s="3">
        <v>13</v>
      </c>
      <c r="C46" s="107" t="s">
        <v>11</v>
      </c>
    </row>
    <row r="47" spans="1:3" ht="36" customHeight="1">
      <c r="A47" s="66" t="s">
        <v>160</v>
      </c>
      <c r="B47" s="3">
        <v>12</v>
      </c>
      <c r="C47" s="107" t="s">
        <v>21</v>
      </c>
    </row>
    <row r="48" spans="1:3" ht="34.5" customHeight="1">
      <c r="A48" s="66" t="s">
        <v>161</v>
      </c>
      <c r="B48" s="3">
        <v>10</v>
      </c>
      <c r="C48" s="106" t="s">
        <v>7</v>
      </c>
    </row>
    <row r="50" spans="1:3" ht="29.25" customHeight="1">
      <c r="A50" s="65" t="s">
        <v>170</v>
      </c>
      <c r="B50" s="9" t="s">
        <v>3</v>
      </c>
      <c r="C50" s="6">
        <f>SUM(B52:B57)</f>
        <v>64</v>
      </c>
    </row>
    <row r="51" spans="1:3" ht="29.25" customHeight="1">
      <c r="A51" s="144" t="s">
        <v>0</v>
      </c>
      <c r="B51" s="145"/>
      <c r="C51" s="4" t="s">
        <v>1</v>
      </c>
    </row>
    <row r="52" spans="1:3" ht="29.25" customHeight="1">
      <c r="A52" s="66" t="s">
        <v>171</v>
      </c>
      <c r="B52" s="3">
        <v>12</v>
      </c>
      <c r="C52" s="106" t="s">
        <v>9</v>
      </c>
    </row>
    <row r="53" spans="1:3" ht="29.25" customHeight="1">
      <c r="A53" s="66" t="s">
        <v>172</v>
      </c>
      <c r="B53" s="3">
        <v>13</v>
      </c>
      <c r="C53" s="107" t="s">
        <v>10</v>
      </c>
    </row>
    <row r="54" spans="1:3" ht="29.25" customHeight="1">
      <c r="A54" s="66" t="s">
        <v>173</v>
      </c>
      <c r="B54" s="3">
        <v>12</v>
      </c>
      <c r="C54" s="107" t="s">
        <v>11</v>
      </c>
    </row>
    <row r="55" spans="1:3" ht="29.25" customHeight="1">
      <c r="A55" s="66" t="s">
        <v>174</v>
      </c>
      <c r="B55" s="3">
        <v>13</v>
      </c>
      <c r="C55" s="107" t="s">
        <v>21</v>
      </c>
    </row>
    <row r="56" spans="1:3" ht="38.25" customHeight="1">
      <c r="A56" s="66" t="s">
        <v>175</v>
      </c>
      <c r="B56" s="3">
        <v>13</v>
      </c>
      <c r="C56" s="106" t="s">
        <v>7</v>
      </c>
    </row>
    <row r="57" spans="1:3" ht="29.25" customHeight="1">
      <c r="A57" s="110" t="s">
        <v>176</v>
      </c>
      <c r="B57" s="3">
        <v>1</v>
      </c>
      <c r="C57" s="2" t="s">
        <v>8</v>
      </c>
    </row>
    <row r="59" spans="1:3" ht="29.25" customHeight="1">
      <c r="A59" s="65" t="s">
        <v>177</v>
      </c>
      <c r="B59" s="9" t="s">
        <v>3</v>
      </c>
      <c r="C59" s="6">
        <f>SUM(B61:B61)</f>
        <v>3</v>
      </c>
    </row>
    <row r="60" spans="1:3" ht="29.25" customHeight="1">
      <c r="A60" s="144" t="s">
        <v>0</v>
      </c>
      <c r="B60" s="145"/>
      <c r="C60" s="4" t="s">
        <v>1</v>
      </c>
    </row>
    <row r="61" spans="1:3" ht="29.25" customHeight="1">
      <c r="A61" s="66" t="s">
        <v>169</v>
      </c>
      <c r="B61" s="3">
        <v>3</v>
      </c>
      <c r="C61" s="2" t="s">
        <v>8</v>
      </c>
    </row>
  </sheetData>
  <mergeCells count="11">
    <mergeCell ref="A43:B43"/>
    <mergeCell ref="A60:B60"/>
    <mergeCell ref="A51:B51"/>
    <mergeCell ref="A1:C1"/>
    <mergeCell ref="A2:C2"/>
    <mergeCell ref="A4:C4"/>
    <mergeCell ref="A7:B7"/>
    <mergeCell ref="A36:B36"/>
    <mergeCell ref="A15:B15"/>
    <mergeCell ref="A22:B22"/>
    <mergeCell ref="A30:B30"/>
  </mergeCells>
  <pageMargins left="0.23622047244094491" right="0.23622047244094491" top="0.74803149606299213" bottom="0.74803149606299213" header="0.31496062992125984" footer="0.31496062992125984"/>
  <pageSetup paperSize="5" scale="90" orientation="portrait" r:id="rId1"/>
  <rowBreaks count="1" manualBreakCount="1">
    <brk id="28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IV68"/>
  <sheetViews>
    <sheetView view="pageBreakPreview" topLeftCell="A7" zoomScale="70" zoomScaleSheetLayoutView="70" workbookViewId="0">
      <selection activeCell="H11" sqref="H11"/>
    </sheetView>
  </sheetViews>
  <sheetFormatPr defaultRowHeight="35.25" customHeight="1"/>
  <cols>
    <col min="1" max="1" width="25.7109375" style="18" customWidth="1"/>
    <col min="2" max="2" width="10.7109375" style="18" customWidth="1"/>
    <col min="3" max="3" width="25.7109375" style="18" customWidth="1"/>
    <col min="4" max="4" width="10.7109375" style="18" customWidth="1"/>
    <col min="5" max="5" width="25.7109375" style="18" customWidth="1"/>
    <col min="6" max="6" width="12.140625" style="18" customWidth="1"/>
    <col min="7" max="7" width="9.140625" style="10"/>
    <col min="8" max="8" width="24.85546875" style="11" customWidth="1"/>
    <col min="9" max="16384" width="9.140625" style="11"/>
  </cols>
  <sheetData>
    <row r="1" spans="1:256" ht="39.75" customHeight="1">
      <c r="A1" s="148" t="s">
        <v>79</v>
      </c>
      <c r="B1" s="149"/>
      <c r="C1" s="149"/>
      <c r="D1" s="149"/>
      <c r="E1" s="149"/>
      <c r="F1" s="150"/>
    </row>
    <row r="2" spans="1:256" ht="35.25" customHeight="1">
      <c r="A2" s="151" t="s">
        <v>23</v>
      </c>
      <c r="B2" s="151"/>
      <c r="C2" s="134" t="s">
        <v>80</v>
      </c>
      <c r="D2" s="135"/>
      <c r="E2" s="135"/>
      <c r="F2" s="152"/>
    </row>
    <row r="3" spans="1:256" ht="35.25" customHeight="1">
      <c r="A3" s="153" t="s">
        <v>28</v>
      </c>
      <c r="B3" s="154"/>
      <c r="C3" s="155" t="s">
        <v>29</v>
      </c>
      <c r="D3" s="154"/>
      <c r="E3" s="155" t="s">
        <v>30</v>
      </c>
      <c r="F3" s="154"/>
      <c r="H3" s="12"/>
    </row>
    <row r="4" spans="1:256" ht="35.25" customHeight="1">
      <c r="A4" s="28"/>
      <c r="C4" s="13" t="s">
        <v>24</v>
      </c>
      <c r="D4" s="40"/>
      <c r="E4" s="14" t="s">
        <v>24</v>
      </c>
      <c r="F4" s="40"/>
    </row>
    <row r="5" spans="1:256" ht="35.25" customHeight="1">
      <c r="A5" s="27">
        <v>1</v>
      </c>
      <c r="B5" s="40">
        <v>1</v>
      </c>
      <c r="C5" s="28">
        <f t="shared" ref="C5:C10" si="0">C7+1</f>
        <v>8</v>
      </c>
      <c r="D5" s="40">
        <v>16</v>
      </c>
      <c r="E5" s="85">
        <f>C6+1</f>
        <v>9</v>
      </c>
      <c r="F5" s="19">
        <v>17</v>
      </c>
    </row>
    <row r="6" spans="1:256" ht="35.25" customHeight="1">
      <c r="A6" s="28">
        <f t="shared" ref="A6:A12" si="1">A4+1</f>
        <v>1</v>
      </c>
      <c r="B6" s="40">
        <v>2</v>
      </c>
      <c r="C6" s="27">
        <f t="shared" si="0"/>
        <v>8</v>
      </c>
      <c r="D6" s="40">
        <v>15</v>
      </c>
      <c r="E6" s="86">
        <f>C5+1</f>
        <v>9</v>
      </c>
      <c r="F6" s="87">
        <v>18</v>
      </c>
    </row>
    <row r="7" spans="1:256" ht="35.25" customHeight="1">
      <c r="A7" s="27">
        <f t="shared" si="1"/>
        <v>2</v>
      </c>
      <c r="B7" s="40">
        <v>3</v>
      </c>
      <c r="C7" s="28">
        <f t="shared" si="0"/>
        <v>7</v>
      </c>
      <c r="D7" s="40">
        <v>14</v>
      </c>
      <c r="E7" s="85">
        <f t="shared" ref="E7:E12" si="2">E5+1</f>
        <v>10</v>
      </c>
      <c r="F7" s="87">
        <v>19</v>
      </c>
    </row>
    <row r="8" spans="1:256" ht="35.25" customHeight="1">
      <c r="A8" s="28">
        <f t="shared" si="1"/>
        <v>2</v>
      </c>
      <c r="B8" s="40">
        <v>4</v>
      </c>
      <c r="C8" s="27">
        <f t="shared" si="0"/>
        <v>7</v>
      </c>
      <c r="D8" s="40">
        <v>13</v>
      </c>
      <c r="E8" s="86">
        <f t="shared" si="2"/>
        <v>10</v>
      </c>
      <c r="F8" s="87">
        <v>20</v>
      </c>
    </row>
    <row r="9" spans="1:256" ht="35.25" customHeight="1">
      <c r="A9" s="27">
        <f t="shared" si="1"/>
        <v>3</v>
      </c>
      <c r="B9" s="40">
        <v>5</v>
      </c>
      <c r="C9" s="28">
        <f t="shared" si="0"/>
        <v>6</v>
      </c>
      <c r="D9" s="40">
        <v>12</v>
      </c>
      <c r="E9" s="85">
        <f t="shared" si="2"/>
        <v>11</v>
      </c>
      <c r="F9" s="87">
        <v>21</v>
      </c>
    </row>
    <row r="10" spans="1:256" ht="35.25" customHeight="1">
      <c r="A10" s="28">
        <f t="shared" si="1"/>
        <v>3</v>
      </c>
      <c r="B10" s="40">
        <v>6</v>
      </c>
      <c r="C10" s="27">
        <f t="shared" si="0"/>
        <v>6</v>
      </c>
      <c r="D10" s="40">
        <v>11</v>
      </c>
      <c r="E10" s="86">
        <f t="shared" si="2"/>
        <v>11</v>
      </c>
      <c r="F10" s="87">
        <v>22</v>
      </c>
    </row>
    <row r="11" spans="1:256" ht="35.25" customHeight="1">
      <c r="A11" s="27">
        <f t="shared" si="1"/>
        <v>4</v>
      </c>
      <c r="B11" s="40">
        <v>7</v>
      </c>
      <c r="C11" s="28">
        <f>A12+1</f>
        <v>5</v>
      </c>
      <c r="D11" s="40">
        <v>10</v>
      </c>
      <c r="E11" s="85">
        <f t="shared" si="2"/>
        <v>12</v>
      </c>
      <c r="F11" s="87">
        <v>23</v>
      </c>
    </row>
    <row r="12" spans="1:256" ht="35.25" customHeight="1">
      <c r="A12" s="88">
        <f t="shared" si="1"/>
        <v>4</v>
      </c>
      <c r="B12" s="89">
        <v>8</v>
      </c>
      <c r="C12" s="90">
        <f>A11+1</f>
        <v>5</v>
      </c>
      <c r="D12" s="18">
        <v>9</v>
      </c>
      <c r="E12" s="86">
        <f t="shared" si="2"/>
        <v>12</v>
      </c>
      <c r="F12" s="87">
        <v>24</v>
      </c>
    </row>
    <row r="13" spans="1:256" ht="35.25" customHeight="1">
      <c r="A13" s="13" t="s">
        <v>24</v>
      </c>
      <c r="B13" s="40"/>
      <c r="C13" s="14" t="s">
        <v>24</v>
      </c>
      <c r="D13" s="19"/>
      <c r="E13" s="85">
        <f>E11+1</f>
        <v>13</v>
      </c>
      <c r="F13" s="87">
        <v>25</v>
      </c>
    </row>
    <row r="14" spans="1:256" s="10" customFormat="1" ht="35.25" customHeight="1">
      <c r="A14" s="19"/>
      <c r="B14" s="151"/>
      <c r="C14" s="151"/>
      <c r="D14" s="151"/>
      <c r="E14" s="151"/>
      <c r="F14" s="19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11"/>
      <c r="DJ14" s="11"/>
      <c r="DK14" s="11"/>
      <c r="DL14" s="11"/>
      <c r="DM14" s="11"/>
      <c r="DN14" s="11"/>
      <c r="DO14" s="11"/>
      <c r="DP14" s="11"/>
      <c r="DQ14" s="11"/>
      <c r="DR14" s="11"/>
      <c r="DS14" s="11"/>
      <c r="DT14" s="11"/>
      <c r="DU14" s="11"/>
      <c r="DV14" s="11"/>
      <c r="DW14" s="11"/>
      <c r="DX14" s="11"/>
      <c r="DY14" s="11"/>
      <c r="DZ14" s="11"/>
      <c r="EA14" s="11"/>
      <c r="EB14" s="11"/>
      <c r="EC14" s="11"/>
      <c r="ED14" s="11"/>
      <c r="EE14" s="11"/>
      <c r="EF14" s="11"/>
      <c r="EG14" s="11"/>
      <c r="EH14" s="11"/>
      <c r="EI14" s="11"/>
      <c r="EJ14" s="11"/>
      <c r="EK14" s="11"/>
      <c r="EL14" s="11"/>
      <c r="EM14" s="11"/>
      <c r="EN14" s="11"/>
      <c r="EO14" s="11"/>
      <c r="EP14" s="11"/>
      <c r="EQ14" s="11"/>
      <c r="ER14" s="11"/>
      <c r="ES14" s="11"/>
      <c r="ET14" s="11"/>
      <c r="EU14" s="11"/>
      <c r="EV14" s="11"/>
      <c r="EW14" s="11"/>
      <c r="EX14" s="11"/>
      <c r="EY14" s="11"/>
      <c r="EZ14" s="11"/>
      <c r="FA14" s="11"/>
      <c r="FB14" s="11"/>
      <c r="FC14" s="11"/>
      <c r="FD14" s="11"/>
      <c r="FE14" s="11"/>
      <c r="FF14" s="11"/>
      <c r="FG14" s="11"/>
      <c r="FH14" s="11"/>
      <c r="FI14" s="11"/>
      <c r="FJ14" s="11"/>
      <c r="FK14" s="11"/>
      <c r="FL14" s="11"/>
      <c r="FM14" s="11"/>
      <c r="FN14" s="11"/>
      <c r="FO14" s="11"/>
      <c r="FP14" s="11"/>
      <c r="FQ14" s="11"/>
      <c r="FR14" s="11"/>
      <c r="FS14" s="11"/>
      <c r="FT14" s="11"/>
      <c r="FU14" s="11"/>
      <c r="FV14" s="11"/>
      <c r="FW14" s="11"/>
      <c r="FX14" s="11"/>
      <c r="FY14" s="11"/>
      <c r="FZ14" s="11"/>
      <c r="GA14" s="11"/>
      <c r="GB14" s="11"/>
      <c r="GC14" s="11"/>
      <c r="GD14" s="11"/>
      <c r="GE14" s="11"/>
      <c r="GF14" s="11"/>
      <c r="GG14" s="11"/>
      <c r="GH14" s="11"/>
      <c r="GI14" s="11"/>
      <c r="GJ14" s="11"/>
      <c r="GK14" s="11"/>
      <c r="GL14" s="11"/>
      <c r="GM14" s="11"/>
      <c r="GN14" s="11"/>
      <c r="GO14" s="11"/>
      <c r="GP14" s="11"/>
      <c r="GQ14" s="11"/>
      <c r="GR14" s="11"/>
      <c r="GS14" s="11"/>
      <c r="GT14" s="11"/>
      <c r="GU14" s="11"/>
      <c r="GV14" s="11"/>
      <c r="GW14" s="11"/>
      <c r="GX14" s="11"/>
      <c r="GY14" s="11"/>
      <c r="GZ14" s="11"/>
      <c r="HA14" s="11"/>
      <c r="HB14" s="11"/>
      <c r="HC14" s="11"/>
      <c r="HD14" s="11"/>
      <c r="HE14" s="11"/>
      <c r="HF14" s="11"/>
      <c r="HG14" s="11"/>
      <c r="HH14" s="11"/>
      <c r="HI14" s="11"/>
      <c r="HJ14" s="11"/>
      <c r="HK14" s="11"/>
      <c r="HL14" s="11"/>
      <c r="HM14" s="11"/>
      <c r="HN14" s="11"/>
      <c r="HO14" s="11"/>
      <c r="HP14" s="11"/>
      <c r="HQ14" s="11"/>
      <c r="HR14" s="11"/>
      <c r="HS14" s="11"/>
      <c r="HT14" s="11"/>
      <c r="HU14" s="11"/>
      <c r="HV14" s="11"/>
      <c r="HW14" s="11"/>
      <c r="HX14" s="11"/>
      <c r="HY14" s="11"/>
      <c r="HZ14" s="11"/>
      <c r="IA14" s="11"/>
      <c r="IB14" s="11"/>
      <c r="IC14" s="11"/>
      <c r="ID14" s="11"/>
      <c r="IE14" s="11"/>
      <c r="IF14" s="11"/>
      <c r="IG14" s="11"/>
      <c r="IH14" s="11"/>
      <c r="II14" s="11"/>
      <c r="IJ14" s="11"/>
      <c r="IK14" s="11"/>
      <c r="IL14" s="11"/>
      <c r="IM14" s="11"/>
      <c r="IN14" s="11"/>
      <c r="IO14" s="11"/>
      <c r="IP14" s="11"/>
      <c r="IQ14" s="11"/>
      <c r="IR14" s="11"/>
      <c r="IS14" s="11"/>
      <c r="IT14" s="11"/>
      <c r="IU14" s="11"/>
      <c r="IV14" s="11"/>
    </row>
    <row r="15" spans="1:256" s="10" customFormat="1" ht="35.25" customHeight="1">
      <c r="A15" s="19"/>
      <c r="B15" s="151"/>
      <c r="C15" s="151"/>
      <c r="D15" s="151"/>
      <c r="E15" s="151"/>
      <c r="F15" s="19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  <c r="ED15" s="11"/>
      <c r="EE15" s="11"/>
      <c r="EF15" s="11"/>
      <c r="EG15" s="11"/>
      <c r="EH15" s="11"/>
      <c r="EI15" s="11"/>
      <c r="EJ15" s="11"/>
      <c r="EK15" s="11"/>
      <c r="EL15" s="11"/>
      <c r="EM15" s="11"/>
      <c r="EN15" s="11"/>
      <c r="EO15" s="11"/>
      <c r="EP15" s="11"/>
      <c r="EQ15" s="11"/>
      <c r="ER15" s="11"/>
      <c r="ES15" s="11"/>
      <c r="ET15" s="11"/>
      <c r="EU15" s="11"/>
      <c r="EV15" s="11"/>
      <c r="EW15" s="11"/>
      <c r="EX15" s="11"/>
      <c r="EY15" s="11"/>
      <c r="EZ15" s="11"/>
      <c r="FA15" s="11"/>
      <c r="FB15" s="11"/>
      <c r="FC15" s="11"/>
      <c r="FD15" s="11"/>
      <c r="FE15" s="11"/>
      <c r="FF15" s="11"/>
      <c r="FG15" s="11"/>
      <c r="FH15" s="11"/>
      <c r="FI15" s="11"/>
      <c r="FJ15" s="11"/>
      <c r="FK15" s="11"/>
      <c r="FL15" s="11"/>
      <c r="FM15" s="11"/>
      <c r="FN15" s="11"/>
      <c r="FO15" s="11"/>
      <c r="FP15" s="11"/>
      <c r="FQ15" s="11"/>
      <c r="FR15" s="11"/>
      <c r="FS15" s="11"/>
      <c r="FT15" s="11"/>
      <c r="FU15" s="11"/>
      <c r="FV15" s="11"/>
      <c r="FW15" s="11"/>
      <c r="FX15" s="11"/>
      <c r="FY15" s="11"/>
      <c r="FZ15" s="11"/>
      <c r="GA15" s="11"/>
      <c r="GB15" s="11"/>
      <c r="GC15" s="11"/>
      <c r="GD15" s="11"/>
      <c r="GE15" s="11"/>
      <c r="GF15" s="11"/>
      <c r="GG15" s="11"/>
      <c r="GH15" s="11"/>
      <c r="GI15" s="11"/>
      <c r="GJ15" s="11"/>
      <c r="GK15" s="11"/>
      <c r="GL15" s="11"/>
      <c r="GM15" s="11"/>
      <c r="GN15" s="11"/>
      <c r="GO15" s="11"/>
      <c r="GP15" s="11"/>
      <c r="GQ15" s="11"/>
      <c r="GR15" s="11"/>
      <c r="GS15" s="11"/>
      <c r="GT15" s="11"/>
      <c r="GU15" s="11"/>
      <c r="GV15" s="11"/>
      <c r="GW15" s="11"/>
      <c r="GX15" s="11"/>
      <c r="GY15" s="11"/>
      <c r="GZ15" s="11"/>
      <c r="HA15" s="11"/>
      <c r="HB15" s="11"/>
      <c r="HC15" s="11"/>
      <c r="HD15" s="11"/>
      <c r="HE15" s="11"/>
      <c r="HF15" s="11"/>
      <c r="HG15" s="11"/>
      <c r="HH15" s="11"/>
      <c r="HI15" s="11"/>
      <c r="HJ15" s="11"/>
      <c r="HK15" s="11"/>
      <c r="HL15" s="11"/>
      <c r="HM15" s="11"/>
      <c r="HN15" s="11"/>
      <c r="HO15" s="11"/>
      <c r="HP15" s="11"/>
      <c r="HQ15" s="11"/>
      <c r="HR15" s="11"/>
      <c r="HS15" s="11"/>
      <c r="HT15" s="11"/>
      <c r="HU15" s="11"/>
      <c r="HV15" s="11"/>
      <c r="HW15" s="11"/>
      <c r="HX15" s="11"/>
      <c r="HY15" s="11"/>
      <c r="HZ15" s="11"/>
      <c r="IA15" s="11"/>
      <c r="IB15" s="11"/>
      <c r="IC15" s="11"/>
      <c r="ID15" s="11"/>
      <c r="IE15" s="11"/>
      <c r="IF15" s="11"/>
      <c r="IG15" s="11"/>
      <c r="IH15" s="11"/>
      <c r="II15" s="11"/>
      <c r="IJ15" s="11"/>
      <c r="IK15" s="11"/>
      <c r="IL15" s="11"/>
      <c r="IM15" s="11"/>
      <c r="IN15" s="11"/>
      <c r="IO15" s="11"/>
      <c r="IP15" s="11"/>
      <c r="IQ15" s="11"/>
      <c r="IR15" s="11"/>
      <c r="IS15" s="11"/>
      <c r="IT15" s="11"/>
      <c r="IU15" s="11"/>
      <c r="IV15" s="11"/>
    </row>
    <row r="16" spans="1:256" s="10" customFormat="1" ht="35.25" customHeight="1">
      <c r="A16" s="15"/>
      <c r="B16" s="16"/>
      <c r="C16" s="16"/>
      <c r="D16" s="16"/>
      <c r="E16" s="16" t="s">
        <v>2</v>
      </c>
      <c r="F16" s="17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1"/>
      <c r="CF16" s="11"/>
      <c r="CG16" s="11"/>
      <c r="CH16" s="11"/>
      <c r="CI16" s="11"/>
      <c r="CJ16" s="11"/>
      <c r="CK16" s="11"/>
      <c r="CL16" s="11"/>
      <c r="CM16" s="11"/>
      <c r="CN16" s="11"/>
      <c r="CO16" s="11"/>
      <c r="CP16" s="11"/>
      <c r="CQ16" s="11"/>
      <c r="CR16" s="11"/>
      <c r="CS16" s="11"/>
      <c r="CT16" s="11"/>
      <c r="CU16" s="11"/>
      <c r="CV16" s="11"/>
      <c r="CW16" s="11"/>
      <c r="CX16" s="11"/>
      <c r="CY16" s="11"/>
      <c r="CZ16" s="11"/>
      <c r="DA16" s="11"/>
      <c r="DB16" s="11"/>
      <c r="DC16" s="11"/>
      <c r="DD16" s="11"/>
      <c r="DE16" s="11"/>
      <c r="DF16" s="11"/>
      <c r="DG16" s="11"/>
      <c r="DH16" s="11"/>
      <c r="DI16" s="11"/>
      <c r="DJ16" s="11"/>
      <c r="DK16" s="11"/>
      <c r="DL16" s="11"/>
      <c r="DM16" s="11"/>
      <c r="DN16" s="11"/>
      <c r="DO16" s="11"/>
      <c r="DP16" s="11"/>
      <c r="DQ16" s="11"/>
      <c r="DR16" s="11"/>
      <c r="DS16" s="11"/>
      <c r="DT16" s="11"/>
      <c r="DU16" s="11"/>
      <c r="DV16" s="11"/>
      <c r="DW16" s="11"/>
      <c r="DX16" s="11"/>
      <c r="DY16" s="11"/>
      <c r="DZ16" s="11"/>
      <c r="EA16" s="11"/>
      <c r="EB16" s="11"/>
      <c r="EC16" s="11"/>
      <c r="ED16" s="11"/>
      <c r="EE16" s="11"/>
      <c r="EF16" s="11"/>
      <c r="EG16" s="11"/>
      <c r="EH16" s="11"/>
      <c r="EI16" s="11"/>
      <c r="EJ16" s="11"/>
      <c r="EK16" s="11"/>
      <c r="EL16" s="11"/>
      <c r="EM16" s="11"/>
      <c r="EN16" s="11"/>
      <c r="EO16" s="11"/>
      <c r="EP16" s="11"/>
      <c r="EQ16" s="11"/>
      <c r="ER16" s="11"/>
      <c r="ES16" s="11"/>
      <c r="ET16" s="11"/>
      <c r="EU16" s="11"/>
      <c r="EV16" s="11"/>
      <c r="EW16" s="11"/>
      <c r="EX16" s="11"/>
      <c r="EY16" s="11"/>
      <c r="EZ16" s="11"/>
      <c r="FA16" s="11"/>
      <c r="FB16" s="11"/>
      <c r="FC16" s="11"/>
      <c r="FD16" s="11"/>
      <c r="FE16" s="11"/>
      <c r="FF16" s="11"/>
      <c r="FG16" s="11"/>
      <c r="FH16" s="11"/>
      <c r="FI16" s="11"/>
      <c r="FJ16" s="11"/>
      <c r="FK16" s="11"/>
      <c r="FL16" s="11"/>
      <c r="FM16" s="11"/>
      <c r="FN16" s="11"/>
      <c r="FO16" s="11"/>
      <c r="FP16" s="11"/>
      <c r="FQ16" s="11"/>
      <c r="FR16" s="11"/>
      <c r="FS16" s="11"/>
      <c r="FT16" s="11"/>
      <c r="FU16" s="11"/>
      <c r="FV16" s="11"/>
      <c r="FW16" s="11"/>
      <c r="FX16" s="11"/>
      <c r="FY16" s="11"/>
      <c r="FZ16" s="11"/>
      <c r="GA16" s="11"/>
      <c r="GB16" s="11"/>
      <c r="GC16" s="11"/>
      <c r="GD16" s="11"/>
      <c r="GE16" s="11"/>
      <c r="GF16" s="11"/>
      <c r="GG16" s="11"/>
      <c r="GH16" s="11"/>
      <c r="GI16" s="11"/>
      <c r="GJ16" s="11"/>
      <c r="GK16" s="11"/>
      <c r="GL16" s="11"/>
      <c r="GM16" s="11"/>
      <c r="GN16" s="11"/>
      <c r="GO16" s="11"/>
      <c r="GP16" s="11"/>
      <c r="GQ16" s="11"/>
      <c r="GR16" s="11"/>
      <c r="GS16" s="11"/>
      <c r="GT16" s="11"/>
      <c r="GU16" s="11"/>
      <c r="GV16" s="11"/>
      <c r="GW16" s="11"/>
      <c r="GX16" s="11"/>
      <c r="GY16" s="11"/>
      <c r="GZ16" s="11"/>
      <c r="HA16" s="11"/>
      <c r="HB16" s="11"/>
      <c r="HC16" s="11"/>
      <c r="HD16" s="11"/>
      <c r="HE16" s="11"/>
      <c r="HF16" s="11"/>
      <c r="HG16" s="11"/>
      <c r="HH16" s="11"/>
      <c r="HI16" s="11"/>
      <c r="HJ16" s="11"/>
      <c r="HK16" s="11"/>
      <c r="HL16" s="11"/>
      <c r="HM16" s="11"/>
      <c r="HN16" s="11"/>
      <c r="HO16" s="11"/>
      <c r="HP16" s="11"/>
      <c r="HQ16" s="11"/>
      <c r="HR16" s="11"/>
      <c r="HS16" s="11"/>
      <c r="HT16" s="11"/>
      <c r="HU16" s="11"/>
      <c r="HV16" s="11"/>
      <c r="HW16" s="11"/>
      <c r="HX16" s="11"/>
      <c r="HY16" s="11"/>
      <c r="HZ16" s="11"/>
      <c r="IA16" s="11"/>
      <c r="IB16" s="11"/>
      <c r="IC16" s="11"/>
      <c r="ID16" s="11"/>
      <c r="IE16" s="11"/>
      <c r="IF16" s="11"/>
      <c r="IG16" s="11"/>
      <c r="IH16" s="11"/>
      <c r="II16" s="11"/>
      <c r="IJ16" s="11"/>
      <c r="IK16" s="11"/>
      <c r="IL16" s="11"/>
      <c r="IM16" s="11"/>
      <c r="IN16" s="11"/>
      <c r="IO16" s="11"/>
      <c r="IP16" s="11"/>
      <c r="IQ16" s="11"/>
      <c r="IR16" s="11"/>
      <c r="IS16" s="11"/>
      <c r="IT16" s="11"/>
      <c r="IU16" s="11"/>
      <c r="IV16" s="11"/>
    </row>
    <row r="17" spans="1:256" s="10" customFormat="1" ht="35.25" customHeight="1">
      <c r="A17" s="15"/>
      <c r="B17" s="16"/>
      <c r="C17" s="16"/>
      <c r="D17" s="16"/>
      <c r="E17" s="16"/>
      <c r="F17" s="17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  <c r="DK17" s="11"/>
      <c r="DL17" s="11"/>
      <c r="DM17" s="11"/>
      <c r="DN17" s="11"/>
      <c r="DO17" s="11"/>
      <c r="DP17" s="11"/>
      <c r="DQ17" s="11"/>
      <c r="DR17" s="11"/>
      <c r="DS17" s="11"/>
      <c r="DT17" s="11"/>
      <c r="DU17" s="11"/>
      <c r="DV17" s="11"/>
      <c r="DW17" s="11"/>
      <c r="DX17" s="11"/>
      <c r="DY17" s="11"/>
      <c r="DZ17" s="11"/>
      <c r="EA17" s="11"/>
      <c r="EB17" s="11"/>
      <c r="EC17" s="11"/>
      <c r="ED17" s="11"/>
      <c r="EE17" s="11"/>
      <c r="EF17" s="11"/>
      <c r="EG17" s="11"/>
      <c r="EH17" s="11"/>
      <c r="EI17" s="11"/>
      <c r="EJ17" s="11"/>
      <c r="EK17" s="11"/>
      <c r="EL17" s="11"/>
      <c r="EM17" s="11"/>
      <c r="EN17" s="11"/>
      <c r="EO17" s="11"/>
      <c r="EP17" s="11"/>
      <c r="EQ17" s="11"/>
      <c r="ER17" s="11"/>
      <c r="ES17" s="11"/>
      <c r="ET17" s="11"/>
      <c r="EU17" s="11"/>
      <c r="EV17" s="11"/>
      <c r="EW17" s="11"/>
      <c r="EX17" s="11"/>
      <c r="EY17" s="11"/>
      <c r="EZ17" s="11"/>
      <c r="FA17" s="11"/>
      <c r="FB17" s="11"/>
      <c r="FC17" s="11"/>
      <c r="FD17" s="11"/>
      <c r="FE17" s="11"/>
      <c r="FF17" s="11"/>
      <c r="FG17" s="11"/>
      <c r="FH17" s="11"/>
      <c r="FI17" s="11"/>
      <c r="FJ17" s="11"/>
      <c r="FK17" s="11"/>
      <c r="FL17" s="11"/>
      <c r="FM17" s="11"/>
      <c r="FN17" s="11"/>
      <c r="FO17" s="11"/>
      <c r="FP17" s="11"/>
      <c r="FQ17" s="11"/>
      <c r="FR17" s="11"/>
      <c r="FS17" s="11"/>
      <c r="FT17" s="11"/>
      <c r="FU17" s="11"/>
      <c r="FV17" s="11"/>
      <c r="FW17" s="11"/>
      <c r="FX17" s="11"/>
      <c r="FY17" s="11"/>
      <c r="FZ17" s="11"/>
      <c r="GA17" s="11"/>
      <c r="GB17" s="11"/>
      <c r="GC17" s="11"/>
      <c r="GD17" s="11"/>
      <c r="GE17" s="11"/>
      <c r="GF17" s="11"/>
      <c r="GG17" s="11"/>
      <c r="GH17" s="11"/>
      <c r="GI17" s="11"/>
      <c r="GJ17" s="11"/>
      <c r="GK17" s="11"/>
      <c r="GL17" s="11"/>
      <c r="GM17" s="11"/>
      <c r="GN17" s="11"/>
      <c r="GO17" s="11"/>
      <c r="GP17" s="11"/>
      <c r="GQ17" s="11"/>
      <c r="GR17" s="11"/>
      <c r="GS17" s="11"/>
      <c r="GT17" s="11"/>
      <c r="GU17" s="11"/>
      <c r="GV17" s="11"/>
      <c r="GW17" s="11"/>
      <c r="GX17" s="11"/>
      <c r="GY17" s="11"/>
      <c r="GZ17" s="11"/>
      <c r="HA17" s="11"/>
      <c r="HB17" s="11"/>
      <c r="HC17" s="11"/>
      <c r="HD17" s="11"/>
      <c r="HE17" s="11"/>
      <c r="HF17" s="11"/>
      <c r="HG17" s="11"/>
      <c r="HH17" s="11"/>
      <c r="HI17" s="11"/>
      <c r="HJ17" s="11"/>
      <c r="HK17" s="11"/>
      <c r="HL17" s="11"/>
      <c r="HM17" s="11"/>
      <c r="HN17" s="11"/>
      <c r="HO17" s="11"/>
      <c r="HP17" s="11"/>
      <c r="HQ17" s="11"/>
      <c r="HR17" s="11"/>
      <c r="HS17" s="11"/>
      <c r="HT17" s="11"/>
      <c r="HU17" s="11"/>
      <c r="HV17" s="11"/>
      <c r="HW17" s="11"/>
      <c r="HX17" s="11"/>
      <c r="HY17" s="11"/>
      <c r="HZ17" s="11"/>
      <c r="IA17" s="11"/>
      <c r="IB17" s="11"/>
      <c r="IC17" s="11"/>
      <c r="ID17" s="11"/>
      <c r="IE17" s="11"/>
      <c r="IF17" s="11"/>
      <c r="IG17" s="11"/>
      <c r="IH17" s="11"/>
      <c r="II17" s="11"/>
      <c r="IJ17" s="11"/>
      <c r="IK17" s="11"/>
      <c r="IL17" s="11"/>
      <c r="IM17" s="11"/>
      <c r="IN17" s="11"/>
      <c r="IO17" s="11"/>
      <c r="IP17" s="11"/>
      <c r="IQ17" s="11"/>
      <c r="IR17" s="11"/>
      <c r="IS17" s="11"/>
      <c r="IT17" s="11"/>
      <c r="IU17" s="11"/>
      <c r="IV17" s="11"/>
    </row>
    <row r="18" spans="1:256" ht="39" customHeight="1">
      <c r="A18" s="148" t="s">
        <v>79</v>
      </c>
      <c r="B18" s="149"/>
      <c r="C18" s="149"/>
      <c r="D18" s="149"/>
      <c r="E18" s="149"/>
      <c r="F18" s="150"/>
    </row>
    <row r="19" spans="1:256" ht="35.25" customHeight="1">
      <c r="A19" s="151" t="s">
        <v>25</v>
      </c>
      <c r="B19" s="151"/>
      <c r="C19" s="151" t="str">
        <f>C2</f>
        <v>Date &amp; Session :  19.11.2025 FN</v>
      </c>
      <c r="D19" s="151"/>
      <c r="E19" s="151"/>
      <c r="F19" s="151"/>
    </row>
    <row r="20" spans="1:256" ht="35.25" customHeight="1">
      <c r="A20" s="153" t="s">
        <v>28</v>
      </c>
      <c r="B20" s="154"/>
      <c r="C20" s="155" t="s">
        <v>29</v>
      </c>
      <c r="D20" s="154"/>
      <c r="E20" s="155" t="s">
        <v>30</v>
      </c>
      <c r="F20" s="154"/>
    </row>
    <row r="21" spans="1:256" ht="35.25" customHeight="1">
      <c r="A21" s="28"/>
      <c r="C21" s="13" t="s">
        <v>24</v>
      </c>
      <c r="D21" s="40"/>
      <c r="E21" s="14" t="s">
        <v>24</v>
      </c>
      <c r="F21" s="40"/>
    </row>
    <row r="22" spans="1:256" ht="35.25" customHeight="1">
      <c r="A22" s="27">
        <v>1</v>
      </c>
      <c r="B22" s="40">
        <v>1</v>
      </c>
      <c r="C22" s="28">
        <f t="shared" ref="C22:C27" si="3">C24+1</f>
        <v>8</v>
      </c>
      <c r="D22" s="40">
        <v>16</v>
      </c>
      <c r="E22" s="85">
        <f>C23+1</f>
        <v>9</v>
      </c>
      <c r="F22" s="19">
        <v>17</v>
      </c>
    </row>
    <row r="23" spans="1:256" ht="35.25" customHeight="1">
      <c r="A23" s="28">
        <f t="shared" ref="A23:A29" si="4">A21+1</f>
        <v>1</v>
      </c>
      <c r="B23" s="40">
        <v>2</v>
      </c>
      <c r="C23" s="27">
        <f t="shared" si="3"/>
        <v>8</v>
      </c>
      <c r="D23" s="40">
        <v>15</v>
      </c>
      <c r="E23" s="86">
        <f>C22+1</f>
        <v>9</v>
      </c>
      <c r="F23" s="87">
        <v>18</v>
      </c>
    </row>
    <row r="24" spans="1:256" ht="35.25" customHeight="1">
      <c r="A24" s="27">
        <f t="shared" si="4"/>
        <v>2</v>
      </c>
      <c r="B24" s="40">
        <v>3</v>
      </c>
      <c r="C24" s="28">
        <f t="shared" si="3"/>
        <v>7</v>
      </c>
      <c r="D24" s="40">
        <v>14</v>
      </c>
      <c r="E24" s="85">
        <f t="shared" ref="E24:E29" si="5">E22+1</f>
        <v>10</v>
      </c>
      <c r="F24" s="87">
        <v>19</v>
      </c>
    </row>
    <row r="25" spans="1:256" ht="35.25" customHeight="1">
      <c r="A25" s="28">
        <f t="shared" si="4"/>
        <v>2</v>
      </c>
      <c r="B25" s="40">
        <v>4</v>
      </c>
      <c r="C25" s="27">
        <f t="shared" si="3"/>
        <v>7</v>
      </c>
      <c r="D25" s="40">
        <v>13</v>
      </c>
      <c r="E25" s="86">
        <f t="shared" si="5"/>
        <v>10</v>
      </c>
      <c r="F25" s="87">
        <v>20</v>
      </c>
    </row>
    <row r="26" spans="1:256" ht="35.25" customHeight="1">
      <c r="A26" s="27">
        <f t="shared" si="4"/>
        <v>3</v>
      </c>
      <c r="B26" s="40">
        <v>5</v>
      </c>
      <c r="C26" s="28">
        <f t="shared" si="3"/>
        <v>6</v>
      </c>
      <c r="D26" s="40">
        <v>12</v>
      </c>
      <c r="E26" s="85">
        <f t="shared" si="5"/>
        <v>11</v>
      </c>
      <c r="F26" s="87">
        <v>21</v>
      </c>
    </row>
    <row r="27" spans="1:256" ht="35.25" customHeight="1">
      <c r="A27" s="28">
        <f t="shared" si="4"/>
        <v>3</v>
      </c>
      <c r="B27" s="40">
        <v>6</v>
      </c>
      <c r="C27" s="27">
        <f t="shared" si="3"/>
        <v>6</v>
      </c>
      <c r="D27" s="40">
        <v>11</v>
      </c>
      <c r="E27" s="86">
        <f t="shared" si="5"/>
        <v>11</v>
      </c>
      <c r="F27" s="87">
        <v>22</v>
      </c>
    </row>
    <row r="28" spans="1:256" ht="35.25" customHeight="1">
      <c r="A28" s="27">
        <f t="shared" si="4"/>
        <v>4</v>
      </c>
      <c r="B28" s="40">
        <v>7</v>
      </c>
      <c r="C28" s="28">
        <f>A29+1</f>
        <v>5</v>
      </c>
      <c r="D28" s="40">
        <v>10</v>
      </c>
      <c r="E28" s="85">
        <f t="shared" si="5"/>
        <v>12</v>
      </c>
      <c r="F28" s="87">
        <v>23</v>
      </c>
    </row>
    <row r="29" spans="1:256" ht="35.25" customHeight="1">
      <c r="A29" s="88">
        <f t="shared" si="4"/>
        <v>4</v>
      </c>
      <c r="B29" s="89">
        <v>8</v>
      </c>
      <c r="C29" s="90">
        <f>A28+1</f>
        <v>5</v>
      </c>
      <c r="D29" s="18">
        <v>9</v>
      </c>
      <c r="E29" s="86">
        <f t="shared" si="5"/>
        <v>12</v>
      </c>
      <c r="F29" s="87">
        <v>24</v>
      </c>
    </row>
    <row r="30" spans="1:256" ht="35.25" customHeight="1">
      <c r="A30" s="13" t="s">
        <v>24</v>
      </c>
      <c r="B30" s="40"/>
      <c r="C30" s="14" t="s">
        <v>24</v>
      </c>
      <c r="D30" s="19"/>
      <c r="E30" s="85">
        <f>E28+1</f>
        <v>13</v>
      </c>
      <c r="F30" s="87">
        <v>25</v>
      </c>
    </row>
    <row r="31" spans="1:256" ht="35.25" customHeight="1">
      <c r="A31" s="19"/>
      <c r="B31" s="151"/>
      <c r="C31" s="151"/>
      <c r="D31" s="151"/>
      <c r="E31" s="151"/>
      <c r="F31" s="19"/>
    </row>
    <row r="32" spans="1:256" ht="35.25" customHeight="1">
      <c r="A32" s="19"/>
      <c r="B32" s="151"/>
      <c r="C32" s="151"/>
      <c r="D32" s="151"/>
      <c r="E32" s="151"/>
      <c r="F32" s="19"/>
    </row>
    <row r="33" spans="1:6" ht="35.25" customHeight="1">
      <c r="A33" s="15"/>
      <c r="B33" s="16"/>
      <c r="C33" s="16"/>
      <c r="D33" s="16"/>
      <c r="E33" s="16" t="s">
        <v>2</v>
      </c>
      <c r="F33" s="17"/>
    </row>
    <row r="34" spans="1:6" ht="35.25" customHeight="1">
      <c r="A34" s="15"/>
      <c r="B34" s="16"/>
      <c r="C34" s="16"/>
      <c r="D34" s="16"/>
      <c r="E34" s="16"/>
      <c r="F34" s="17"/>
    </row>
    <row r="35" spans="1:6" ht="39" customHeight="1">
      <c r="A35" s="148" t="str">
        <f>A18</f>
        <v>GCE : : ERODE - 638 316 - ANNA UNIVERSITY EXAMS - 
HALL  SKETCH - NOV/DEC 2025</v>
      </c>
      <c r="B35" s="112"/>
      <c r="C35" s="112"/>
      <c r="D35" s="112"/>
      <c r="E35" s="112"/>
      <c r="F35" s="113"/>
    </row>
    <row r="36" spans="1:6" ht="35.25" customHeight="1">
      <c r="A36" s="153" t="s">
        <v>26</v>
      </c>
      <c r="B36" s="156"/>
      <c r="C36" s="151" t="str">
        <f>C2</f>
        <v>Date &amp; Session :  19.11.2025 FN</v>
      </c>
      <c r="D36" s="151"/>
      <c r="E36" s="151"/>
      <c r="F36" s="151"/>
    </row>
    <row r="37" spans="1:6" ht="35.25" customHeight="1">
      <c r="A37" s="153" t="s">
        <v>28</v>
      </c>
      <c r="B37" s="154"/>
      <c r="C37" s="155" t="s">
        <v>29</v>
      </c>
      <c r="D37" s="154"/>
      <c r="E37" s="155" t="s">
        <v>30</v>
      </c>
      <c r="F37" s="154"/>
    </row>
    <row r="38" spans="1:6" ht="35.25" customHeight="1">
      <c r="A38" s="28"/>
      <c r="C38" s="13" t="s">
        <v>24</v>
      </c>
      <c r="D38" s="40"/>
      <c r="E38" s="14" t="s">
        <v>24</v>
      </c>
      <c r="F38" s="40"/>
    </row>
    <row r="39" spans="1:6" ht="35.25" customHeight="1">
      <c r="A39" s="27">
        <v>1</v>
      </c>
      <c r="B39" s="40">
        <v>1</v>
      </c>
      <c r="C39" s="28">
        <f t="shared" ref="C39:C44" si="6">C41+1</f>
        <v>8</v>
      </c>
      <c r="D39" s="40">
        <v>16</v>
      </c>
      <c r="E39" s="85">
        <f>C40+1</f>
        <v>9</v>
      </c>
      <c r="F39" s="19">
        <v>17</v>
      </c>
    </row>
    <row r="40" spans="1:6" ht="35.25" customHeight="1">
      <c r="A40" s="28">
        <f t="shared" ref="A40:A46" si="7">A38+1</f>
        <v>1</v>
      </c>
      <c r="B40" s="40">
        <v>2</v>
      </c>
      <c r="C40" s="27">
        <f t="shared" si="6"/>
        <v>8</v>
      </c>
      <c r="D40" s="40">
        <v>15</v>
      </c>
      <c r="E40" s="86">
        <f>C39+1</f>
        <v>9</v>
      </c>
      <c r="F40" s="87">
        <v>18</v>
      </c>
    </row>
    <row r="41" spans="1:6" ht="35.25" customHeight="1">
      <c r="A41" s="27">
        <f t="shared" si="7"/>
        <v>2</v>
      </c>
      <c r="B41" s="40">
        <v>3</v>
      </c>
      <c r="C41" s="28">
        <f t="shared" si="6"/>
        <v>7</v>
      </c>
      <c r="D41" s="40">
        <v>14</v>
      </c>
      <c r="E41" s="85">
        <f t="shared" ref="E41:E46" si="8">E39+1</f>
        <v>10</v>
      </c>
      <c r="F41" s="87">
        <v>19</v>
      </c>
    </row>
    <row r="42" spans="1:6" ht="35.25" customHeight="1">
      <c r="A42" s="28">
        <f t="shared" si="7"/>
        <v>2</v>
      </c>
      <c r="B42" s="40">
        <v>4</v>
      </c>
      <c r="C42" s="27">
        <f t="shared" si="6"/>
        <v>7</v>
      </c>
      <c r="D42" s="40">
        <v>13</v>
      </c>
      <c r="E42" s="86">
        <f t="shared" si="8"/>
        <v>10</v>
      </c>
      <c r="F42" s="87">
        <v>20</v>
      </c>
    </row>
    <row r="43" spans="1:6" ht="35.25" customHeight="1">
      <c r="A43" s="27">
        <f t="shared" si="7"/>
        <v>3</v>
      </c>
      <c r="B43" s="40">
        <v>5</v>
      </c>
      <c r="C43" s="28">
        <f t="shared" si="6"/>
        <v>6</v>
      </c>
      <c r="D43" s="40">
        <v>12</v>
      </c>
      <c r="E43" s="85">
        <f t="shared" si="8"/>
        <v>11</v>
      </c>
      <c r="F43" s="87">
        <v>21</v>
      </c>
    </row>
    <row r="44" spans="1:6" ht="35.25" customHeight="1">
      <c r="A44" s="28">
        <f t="shared" si="7"/>
        <v>3</v>
      </c>
      <c r="B44" s="40">
        <v>6</v>
      </c>
      <c r="C44" s="27">
        <f t="shared" si="6"/>
        <v>6</v>
      </c>
      <c r="D44" s="40">
        <v>11</v>
      </c>
      <c r="E44" s="86">
        <f t="shared" si="8"/>
        <v>11</v>
      </c>
      <c r="F44" s="87">
        <v>22</v>
      </c>
    </row>
    <row r="45" spans="1:6" ht="35.25" customHeight="1">
      <c r="A45" s="27">
        <f t="shared" si="7"/>
        <v>4</v>
      </c>
      <c r="B45" s="40">
        <v>7</v>
      </c>
      <c r="C45" s="28">
        <f>A46+1</f>
        <v>5</v>
      </c>
      <c r="D45" s="40">
        <v>10</v>
      </c>
      <c r="E45" s="85">
        <f t="shared" si="8"/>
        <v>12</v>
      </c>
      <c r="F45" s="87">
        <v>23</v>
      </c>
    </row>
    <row r="46" spans="1:6" ht="35.25" customHeight="1">
      <c r="A46" s="88">
        <f t="shared" si="7"/>
        <v>4</v>
      </c>
      <c r="B46" s="89">
        <v>8</v>
      </c>
      <c r="C46" s="90">
        <f>A45+1</f>
        <v>5</v>
      </c>
      <c r="D46" s="18">
        <v>9</v>
      </c>
      <c r="E46" s="86">
        <f t="shared" si="8"/>
        <v>12</v>
      </c>
      <c r="F46" s="87">
        <v>24</v>
      </c>
    </row>
    <row r="47" spans="1:6" ht="35.25" customHeight="1">
      <c r="A47" s="13" t="s">
        <v>24</v>
      </c>
      <c r="B47" s="40"/>
      <c r="C47" s="14" t="s">
        <v>24</v>
      </c>
      <c r="D47" s="19"/>
      <c r="E47" s="85">
        <f>E45+1</f>
        <v>13</v>
      </c>
      <c r="F47" s="87">
        <v>25</v>
      </c>
    </row>
    <row r="48" spans="1:6" ht="35.25" customHeight="1">
      <c r="A48" s="38"/>
      <c r="B48" s="153"/>
      <c r="C48" s="157"/>
      <c r="D48" s="157"/>
      <c r="E48" s="156"/>
      <c r="F48" s="29"/>
    </row>
    <row r="49" spans="1:6" ht="35.25" customHeight="1">
      <c r="A49" s="39"/>
      <c r="B49" s="153"/>
      <c r="C49" s="157"/>
      <c r="D49" s="157"/>
      <c r="E49" s="156"/>
      <c r="F49" s="24"/>
    </row>
    <row r="50" spans="1:6" ht="35.25" customHeight="1">
      <c r="A50" s="22"/>
      <c r="B50" s="23"/>
      <c r="C50" s="23"/>
      <c r="D50" s="23"/>
      <c r="E50" s="23" t="s">
        <v>2</v>
      </c>
      <c r="F50" s="24"/>
    </row>
    <row r="51" spans="1:6" ht="35.25" customHeight="1">
      <c r="A51" s="22"/>
      <c r="B51" s="23"/>
      <c r="C51" s="23"/>
      <c r="D51" s="23"/>
      <c r="E51" s="23"/>
      <c r="F51" s="24"/>
    </row>
    <row r="52" spans="1:6" ht="39" customHeight="1">
      <c r="A52" s="148" t="str">
        <f>A35</f>
        <v>GCE : : ERODE - 638 316 - ANNA UNIVERSITY EXAMS - 
HALL  SKETCH - NOV/DEC 2025</v>
      </c>
      <c r="B52" s="112"/>
      <c r="C52" s="112"/>
      <c r="D52" s="112"/>
      <c r="E52" s="112"/>
      <c r="F52" s="113"/>
    </row>
    <row r="53" spans="1:6" ht="35.25" customHeight="1">
      <c r="A53" s="153" t="s">
        <v>27</v>
      </c>
      <c r="B53" s="156"/>
      <c r="C53" s="151" t="str">
        <f>C2</f>
        <v>Date &amp; Session :  19.11.2025 FN</v>
      </c>
      <c r="D53" s="151"/>
      <c r="E53" s="151"/>
      <c r="F53" s="151"/>
    </row>
    <row r="54" spans="1:6" ht="35.25" customHeight="1">
      <c r="A54" s="153" t="s">
        <v>28</v>
      </c>
      <c r="B54" s="154"/>
      <c r="C54" s="155" t="s">
        <v>29</v>
      </c>
      <c r="D54" s="154"/>
      <c r="E54" s="155" t="s">
        <v>30</v>
      </c>
      <c r="F54" s="154"/>
    </row>
    <row r="55" spans="1:6" ht="35.25" customHeight="1">
      <c r="A55" s="28"/>
      <c r="C55" s="13" t="s">
        <v>24</v>
      </c>
      <c r="D55" s="40"/>
      <c r="E55" s="14" t="s">
        <v>24</v>
      </c>
      <c r="F55" s="40"/>
    </row>
    <row r="56" spans="1:6" ht="35.25" customHeight="1">
      <c r="A56" s="27">
        <v>1</v>
      </c>
      <c r="B56" s="40">
        <v>1</v>
      </c>
      <c r="C56" s="28">
        <f t="shared" ref="C56:C61" si="9">C58+1</f>
        <v>8</v>
      </c>
      <c r="D56" s="40">
        <v>16</v>
      </c>
      <c r="E56" s="85">
        <f>C57+1</f>
        <v>9</v>
      </c>
      <c r="F56" s="19">
        <v>17</v>
      </c>
    </row>
    <row r="57" spans="1:6" ht="35.25" customHeight="1">
      <c r="A57" s="28">
        <f t="shared" ref="A57:A63" si="10">A55+1</f>
        <v>1</v>
      </c>
      <c r="B57" s="40">
        <v>2</v>
      </c>
      <c r="C57" s="27">
        <f t="shared" si="9"/>
        <v>8</v>
      </c>
      <c r="D57" s="40">
        <v>15</v>
      </c>
      <c r="E57" s="86">
        <f>C56+1</f>
        <v>9</v>
      </c>
      <c r="F57" s="87">
        <v>18</v>
      </c>
    </row>
    <row r="58" spans="1:6" ht="35.25" customHeight="1">
      <c r="A58" s="27">
        <f t="shared" si="10"/>
        <v>2</v>
      </c>
      <c r="B58" s="40">
        <v>3</v>
      </c>
      <c r="C58" s="28">
        <f t="shared" si="9"/>
        <v>7</v>
      </c>
      <c r="D58" s="40">
        <v>14</v>
      </c>
      <c r="E58" s="85">
        <f t="shared" ref="E58:E62" si="11">E56+1</f>
        <v>10</v>
      </c>
      <c r="F58" s="87">
        <v>19</v>
      </c>
    </row>
    <row r="59" spans="1:6" ht="35.25" customHeight="1">
      <c r="A59" s="28">
        <f t="shared" si="10"/>
        <v>2</v>
      </c>
      <c r="B59" s="40">
        <v>4</v>
      </c>
      <c r="C59" s="27">
        <f t="shared" si="9"/>
        <v>7</v>
      </c>
      <c r="D59" s="40">
        <v>13</v>
      </c>
      <c r="E59" s="86">
        <f t="shared" si="11"/>
        <v>10</v>
      </c>
      <c r="F59" s="87">
        <v>20</v>
      </c>
    </row>
    <row r="60" spans="1:6" ht="35.25" customHeight="1">
      <c r="A60" s="27">
        <f t="shared" si="10"/>
        <v>3</v>
      </c>
      <c r="B60" s="40">
        <v>5</v>
      </c>
      <c r="C60" s="28">
        <f t="shared" si="9"/>
        <v>6</v>
      </c>
      <c r="D60" s="40">
        <v>12</v>
      </c>
      <c r="E60" s="85">
        <f t="shared" si="11"/>
        <v>11</v>
      </c>
      <c r="F60" s="87">
        <v>21</v>
      </c>
    </row>
    <row r="61" spans="1:6" ht="35.25" customHeight="1">
      <c r="A61" s="28">
        <f t="shared" si="10"/>
        <v>3</v>
      </c>
      <c r="B61" s="40">
        <v>6</v>
      </c>
      <c r="C61" s="27">
        <f t="shared" si="9"/>
        <v>6</v>
      </c>
      <c r="D61" s="40">
        <v>11</v>
      </c>
      <c r="E61" s="86">
        <f t="shared" si="11"/>
        <v>11</v>
      </c>
      <c r="F61" s="87">
        <v>22</v>
      </c>
    </row>
    <row r="62" spans="1:6" ht="35.25" customHeight="1">
      <c r="A62" s="27">
        <f t="shared" si="10"/>
        <v>4</v>
      </c>
      <c r="B62" s="40">
        <v>7</v>
      </c>
      <c r="C62" s="28">
        <f>A63+1</f>
        <v>5</v>
      </c>
      <c r="D62" s="40">
        <v>10</v>
      </c>
      <c r="E62" s="85">
        <f t="shared" si="11"/>
        <v>12</v>
      </c>
      <c r="F62" s="87">
        <v>23</v>
      </c>
    </row>
    <row r="63" spans="1:6" ht="35.25" customHeight="1">
      <c r="A63" s="88">
        <f t="shared" si="10"/>
        <v>4</v>
      </c>
      <c r="B63" s="89">
        <v>8</v>
      </c>
      <c r="C63" s="90">
        <f>A62+1</f>
        <v>5</v>
      </c>
      <c r="D63" s="18">
        <v>9</v>
      </c>
      <c r="E63" s="86"/>
      <c r="F63" s="87"/>
    </row>
    <row r="64" spans="1:6" ht="35.25" customHeight="1">
      <c r="A64" s="13" t="s">
        <v>24</v>
      </c>
      <c r="B64" s="40"/>
      <c r="C64" s="14" t="s">
        <v>24</v>
      </c>
      <c r="D64" s="19"/>
      <c r="E64" s="85"/>
      <c r="F64" s="87"/>
    </row>
    <row r="65" spans="1:6" ht="35.25" customHeight="1">
      <c r="A65" s="38"/>
      <c r="B65" s="153"/>
      <c r="C65" s="157"/>
      <c r="D65" s="157"/>
      <c r="E65" s="156"/>
      <c r="F65" s="29"/>
    </row>
    <row r="66" spans="1:6" ht="35.25" customHeight="1">
      <c r="A66" s="39"/>
      <c r="B66" s="153"/>
      <c r="C66" s="157"/>
      <c r="D66" s="157"/>
      <c r="E66" s="156"/>
      <c r="F66" s="24"/>
    </row>
    <row r="67" spans="1:6" ht="35.25" customHeight="1">
      <c r="A67" s="22"/>
      <c r="B67" s="23"/>
      <c r="C67" s="23"/>
      <c r="D67" s="23"/>
      <c r="E67" s="23" t="s">
        <v>2</v>
      </c>
      <c r="F67" s="24"/>
    </row>
    <row r="68" spans="1:6" ht="35.25" customHeight="1">
      <c r="A68" s="22"/>
      <c r="B68" s="23"/>
      <c r="C68" s="23"/>
      <c r="D68" s="23"/>
      <c r="E68" s="23"/>
      <c r="F68" s="24"/>
    </row>
  </sheetData>
  <mergeCells count="32">
    <mergeCell ref="B15:E15"/>
    <mergeCell ref="A53:B53"/>
    <mergeCell ref="C53:F53"/>
    <mergeCell ref="B65:E65"/>
    <mergeCell ref="B66:E66"/>
    <mergeCell ref="A54:B54"/>
    <mergeCell ref="C54:D54"/>
    <mergeCell ref="E54:F54"/>
    <mergeCell ref="A18:F18"/>
    <mergeCell ref="A19:B19"/>
    <mergeCell ref="C19:F19"/>
    <mergeCell ref="C37:D37"/>
    <mergeCell ref="E37:F37"/>
    <mergeCell ref="A20:B20"/>
    <mergeCell ref="C20:D20"/>
    <mergeCell ref="E20:F20"/>
    <mergeCell ref="B32:E32"/>
    <mergeCell ref="A52:F52"/>
    <mergeCell ref="A37:B37"/>
    <mergeCell ref="B31:E31"/>
    <mergeCell ref="A36:B36"/>
    <mergeCell ref="C36:F36"/>
    <mergeCell ref="A35:F35"/>
    <mergeCell ref="B49:E49"/>
    <mergeCell ref="B48:E48"/>
    <mergeCell ref="A1:F1"/>
    <mergeCell ref="A2:B2"/>
    <mergeCell ref="C2:F2"/>
    <mergeCell ref="B14:E14"/>
    <mergeCell ref="A3:B3"/>
    <mergeCell ref="C3:D3"/>
    <mergeCell ref="E3:F3"/>
  </mergeCells>
  <printOptions horizontalCentered="1"/>
  <pageMargins left="0.76" right="0.25" top="0.48" bottom="0.25" header="0.46" footer="0"/>
  <pageSetup paperSize="9" scale="68" orientation="portrait" horizontalDpi="1200" verticalDpi="1200" r:id="rId1"/>
  <headerFooter alignWithMargins="0">
    <oddFooter>Page &amp;P of &amp;N</oddFooter>
  </headerFooter>
  <rowBreaks count="3" manualBreakCount="3">
    <brk id="17" max="16383" man="1"/>
    <brk id="34" max="16383" man="1"/>
    <brk id="51" max="5" man="1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selection activeCell="G19" sqref="G19"/>
    </sheetView>
  </sheetViews>
  <sheetFormatPr defaultRowHeight="15"/>
  <cols>
    <col min="2" max="4" width="7" customWidth="1"/>
  </cols>
  <sheetData>
    <row r="1" spans="1:10">
      <c r="A1" s="80" t="s">
        <v>65</v>
      </c>
      <c r="B1" s="80">
        <v>55</v>
      </c>
      <c r="C1" s="80">
        <v>52</v>
      </c>
      <c r="D1" s="80">
        <v>65</v>
      </c>
      <c r="E1" s="80">
        <v>54</v>
      </c>
      <c r="F1" s="80">
        <v>59</v>
      </c>
      <c r="G1" s="80">
        <v>60</v>
      </c>
      <c r="H1" s="80">
        <v>64</v>
      </c>
      <c r="I1" s="80">
        <v>3</v>
      </c>
      <c r="J1" s="80">
        <f>SUM(B1:I1)</f>
        <v>412</v>
      </c>
    </row>
    <row r="2" spans="1:10">
      <c r="A2" s="80"/>
      <c r="B2" s="158" t="s">
        <v>89</v>
      </c>
      <c r="C2" s="159"/>
      <c r="D2" s="159"/>
      <c r="E2" s="159"/>
      <c r="F2" s="159"/>
      <c r="G2" s="159"/>
      <c r="H2" s="160"/>
      <c r="I2" s="81" t="s">
        <v>98</v>
      </c>
      <c r="J2" s="80"/>
    </row>
    <row r="3" spans="1:10">
      <c r="A3" s="80"/>
      <c r="B3" s="158" t="s">
        <v>90</v>
      </c>
      <c r="C3" s="159"/>
      <c r="D3" s="159"/>
      <c r="E3" s="159"/>
      <c r="F3" s="159"/>
      <c r="G3" s="159"/>
      <c r="H3" s="160"/>
      <c r="I3" s="81" t="s">
        <v>99</v>
      </c>
      <c r="J3" s="80"/>
    </row>
    <row r="4" spans="1:10">
      <c r="A4" s="80"/>
      <c r="B4" t="s">
        <v>91</v>
      </c>
      <c r="C4" s="81" t="s">
        <v>92</v>
      </c>
      <c r="D4" s="81" t="s">
        <v>93</v>
      </c>
      <c r="E4" s="81" t="s">
        <v>94</v>
      </c>
      <c r="F4" s="81" t="s">
        <v>95</v>
      </c>
      <c r="G4" s="81" t="s">
        <v>96</v>
      </c>
      <c r="H4" s="81" t="s">
        <v>97</v>
      </c>
      <c r="I4" s="81"/>
      <c r="J4" s="80"/>
    </row>
    <row r="5" spans="1:10">
      <c r="A5" s="80" t="s">
        <v>64</v>
      </c>
      <c r="B5" s="80">
        <f t="shared" ref="B5:J5" si="0">B1-SUM(B6:B22)</f>
        <v>0</v>
      </c>
      <c r="C5" s="80">
        <f t="shared" si="0"/>
        <v>0</v>
      </c>
      <c r="D5" s="80">
        <f t="shared" si="0"/>
        <v>0</v>
      </c>
      <c r="E5" s="80">
        <f t="shared" si="0"/>
        <v>0</v>
      </c>
      <c r="F5" s="80">
        <f t="shared" si="0"/>
        <v>0</v>
      </c>
      <c r="G5" s="80">
        <f t="shared" si="0"/>
        <v>0</v>
      </c>
      <c r="H5" s="80">
        <f t="shared" si="0"/>
        <v>0</v>
      </c>
      <c r="I5" s="80">
        <f t="shared" si="0"/>
        <v>0</v>
      </c>
      <c r="J5" s="80">
        <f t="shared" si="0"/>
        <v>0</v>
      </c>
    </row>
    <row r="6" spans="1:10" ht="15.75">
      <c r="A6" s="2" t="s">
        <v>7</v>
      </c>
      <c r="B6" s="80"/>
      <c r="C6" s="80"/>
      <c r="D6" s="80"/>
      <c r="E6" s="80"/>
      <c r="F6" s="80"/>
      <c r="G6" s="80">
        <v>10</v>
      </c>
      <c r="H6" s="80">
        <v>13</v>
      </c>
      <c r="I6" s="80"/>
      <c r="J6" s="80">
        <f t="shared" ref="J6:J22" si="1">SUM(B6:I6)</f>
        <v>23</v>
      </c>
    </row>
    <row r="7" spans="1:10" ht="15.75">
      <c r="A7" s="2" t="s">
        <v>8</v>
      </c>
      <c r="B7" s="93">
        <v>5</v>
      </c>
      <c r="C7" s="93">
        <v>2</v>
      </c>
      <c r="D7" s="93">
        <v>2</v>
      </c>
      <c r="E7" s="93">
        <v>4</v>
      </c>
      <c r="F7" s="93"/>
      <c r="G7" s="93"/>
      <c r="H7" s="93">
        <v>1</v>
      </c>
      <c r="I7" s="93">
        <v>3</v>
      </c>
      <c r="J7" s="80">
        <f t="shared" si="1"/>
        <v>17</v>
      </c>
    </row>
    <row r="8" spans="1:10" s="82" customFormat="1" ht="15.75">
      <c r="A8" s="2" t="s">
        <v>9</v>
      </c>
      <c r="B8" s="93"/>
      <c r="C8" s="93"/>
      <c r="D8" s="93"/>
      <c r="E8" s="93"/>
      <c r="F8" s="93"/>
      <c r="G8" s="93">
        <v>13</v>
      </c>
      <c r="H8" s="93">
        <v>12</v>
      </c>
      <c r="I8" s="93"/>
      <c r="J8" s="80">
        <f t="shared" si="1"/>
        <v>25</v>
      </c>
    </row>
    <row r="9" spans="1:10" ht="15.75">
      <c r="A9" s="2" t="s">
        <v>10</v>
      </c>
      <c r="B9" s="93"/>
      <c r="C9" s="93"/>
      <c r="D9" s="93"/>
      <c r="E9" s="93"/>
      <c r="F9" s="93"/>
      <c r="G9" s="93">
        <v>12</v>
      </c>
      <c r="H9" s="93">
        <v>13</v>
      </c>
      <c r="I9" s="93"/>
      <c r="J9" s="80">
        <f t="shared" si="1"/>
        <v>25</v>
      </c>
    </row>
    <row r="10" spans="1:10" ht="15.75">
      <c r="A10" s="2" t="s">
        <v>11</v>
      </c>
      <c r="B10" s="93"/>
      <c r="C10" s="93"/>
      <c r="D10" s="93"/>
      <c r="E10" s="93"/>
      <c r="F10" s="93"/>
      <c r="G10" s="93">
        <v>13</v>
      </c>
      <c r="H10" s="93">
        <v>12</v>
      </c>
      <c r="I10" s="93"/>
      <c r="J10" s="80">
        <f t="shared" si="1"/>
        <v>25</v>
      </c>
    </row>
    <row r="11" spans="1:10" ht="15.75">
      <c r="A11" s="2" t="s">
        <v>21</v>
      </c>
      <c r="B11" s="93"/>
      <c r="C11" s="93"/>
      <c r="D11" s="93"/>
      <c r="E11" s="93"/>
      <c r="F11" s="93"/>
      <c r="G11" s="93">
        <v>12</v>
      </c>
      <c r="H11" s="93">
        <v>13</v>
      </c>
      <c r="I11" s="93"/>
      <c r="J11" s="80">
        <f t="shared" si="1"/>
        <v>25</v>
      </c>
    </row>
    <row r="12" spans="1:10" ht="15.75">
      <c r="A12" s="2" t="s">
        <v>66</v>
      </c>
      <c r="B12" s="93"/>
      <c r="C12" s="93"/>
      <c r="D12" s="93">
        <v>13</v>
      </c>
      <c r="E12" s="93"/>
      <c r="F12" s="93">
        <v>12</v>
      </c>
      <c r="G12" s="93"/>
      <c r="H12" s="93"/>
      <c r="I12" s="93"/>
      <c r="J12" s="80">
        <f t="shared" si="1"/>
        <v>25</v>
      </c>
    </row>
    <row r="13" spans="1:10" ht="15.75">
      <c r="A13" s="2" t="s">
        <v>67</v>
      </c>
      <c r="B13" s="93"/>
      <c r="C13" s="93"/>
      <c r="D13" s="93">
        <v>12</v>
      </c>
      <c r="E13" s="93"/>
      <c r="F13" s="93">
        <v>13</v>
      </c>
      <c r="G13" s="93"/>
      <c r="H13" s="93"/>
      <c r="I13" s="93"/>
      <c r="J13" s="80">
        <f t="shared" si="1"/>
        <v>25</v>
      </c>
    </row>
    <row r="14" spans="1:10" ht="15.75" customHeight="1">
      <c r="A14" s="2" t="s">
        <v>68</v>
      </c>
      <c r="B14" s="93"/>
      <c r="C14" s="93"/>
      <c r="D14" s="93">
        <v>13</v>
      </c>
      <c r="E14" s="93"/>
      <c r="F14" s="93">
        <v>12</v>
      </c>
      <c r="G14" s="93"/>
      <c r="H14" s="93"/>
      <c r="I14" s="93"/>
      <c r="J14" s="80">
        <f t="shared" si="1"/>
        <v>25</v>
      </c>
    </row>
    <row r="15" spans="1:10" ht="15.75" customHeight="1">
      <c r="A15" s="2" t="s">
        <v>69</v>
      </c>
      <c r="B15" s="93"/>
      <c r="C15" s="93"/>
      <c r="D15" s="93">
        <v>12</v>
      </c>
      <c r="E15" s="93"/>
      <c r="F15" s="93">
        <v>13</v>
      </c>
      <c r="G15" s="93"/>
      <c r="H15" s="93"/>
      <c r="I15" s="93"/>
      <c r="J15" s="80">
        <f t="shared" si="1"/>
        <v>25</v>
      </c>
    </row>
    <row r="16" spans="1:10" s="84" customFormat="1" ht="15.75" customHeight="1">
      <c r="A16" s="2" t="s">
        <v>70</v>
      </c>
      <c r="B16" s="94"/>
      <c r="C16" s="94"/>
      <c r="D16" s="94">
        <v>13</v>
      </c>
      <c r="E16" s="94"/>
      <c r="F16" s="94">
        <v>9</v>
      </c>
      <c r="G16" s="95"/>
      <c r="H16" s="94"/>
      <c r="I16" s="94"/>
      <c r="J16" s="83">
        <f t="shared" si="1"/>
        <v>22</v>
      </c>
    </row>
    <row r="17" spans="1:10" ht="15.75">
      <c r="A17" s="2" t="s">
        <v>38</v>
      </c>
      <c r="B17" s="93">
        <v>13</v>
      </c>
      <c r="C17" s="93">
        <v>12</v>
      </c>
      <c r="D17" s="93"/>
      <c r="E17" s="93"/>
      <c r="F17" s="93"/>
      <c r="G17" s="93"/>
      <c r="H17" s="93"/>
      <c r="I17" s="93"/>
      <c r="J17" s="83">
        <f t="shared" si="1"/>
        <v>25</v>
      </c>
    </row>
    <row r="18" spans="1:10" ht="15.75">
      <c r="A18" s="2" t="s">
        <v>39</v>
      </c>
      <c r="B18" s="93">
        <v>12</v>
      </c>
      <c r="C18" s="93">
        <v>13</v>
      </c>
      <c r="D18" s="93"/>
      <c r="E18" s="93"/>
      <c r="F18" s="93"/>
      <c r="G18" s="93"/>
      <c r="H18" s="93"/>
      <c r="I18" s="93"/>
      <c r="J18" s="83">
        <f t="shared" si="1"/>
        <v>25</v>
      </c>
    </row>
    <row r="19" spans="1:10" ht="15.75">
      <c r="A19" s="2" t="s">
        <v>47</v>
      </c>
      <c r="B19" s="93">
        <v>13</v>
      </c>
      <c r="C19" s="93"/>
      <c r="D19" s="93"/>
      <c r="E19" s="93">
        <v>12</v>
      </c>
      <c r="F19" s="93"/>
      <c r="G19" s="93"/>
      <c r="H19" s="93"/>
      <c r="I19" s="93"/>
      <c r="J19" s="83">
        <f t="shared" si="1"/>
        <v>25</v>
      </c>
    </row>
    <row r="20" spans="1:10" ht="15.75">
      <c r="A20" s="2" t="s">
        <v>86</v>
      </c>
      <c r="B20" s="93">
        <v>12</v>
      </c>
      <c r="C20" s="93"/>
      <c r="D20" s="93"/>
      <c r="E20" s="93">
        <v>13</v>
      </c>
      <c r="F20" s="93"/>
      <c r="G20" s="93"/>
      <c r="H20" s="93"/>
      <c r="I20" s="93"/>
      <c r="J20" s="83">
        <f t="shared" si="1"/>
        <v>25</v>
      </c>
    </row>
    <row r="21" spans="1:10" ht="15.75">
      <c r="A21" s="2" t="s">
        <v>87</v>
      </c>
      <c r="B21" s="93"/>
      <c r="C21" s="93">
        <v>12</v>
      </c>
      <c r="D21" s="93"/>
      <c r="E21" s="93">
        <v>13</v>
      </c>
      <c r="F21" s="93"/>
      <c r="G21" s="93"/>
      <c r="H21" s="93"/>
      <c r="I21" s="93"/>
      <c r="J21" s="83">
        <f t="shared" si="1"/>
        <v>25</v>
      </c>
    </row>
    <row r="22" spans="1:10" ht="15.75">
      <c r="A22" s="2" t="s">
        <v>88</v>
      </c>
      <c r="B22" s="93"/>
      <c r="C22" s="93">
        <v>13</v>
      </c>
      <c r="D22" s="93"/>
      <c r="E22" s="93">
        <v>12</v>
      </c>
      <c r="F22" s="93"/>
      <c r="G22" s="93"/>
      <c r="H22" s="93"/>
      <c r="I22" s="93"/>
      <c r="J22" s="83">
        <f t="shared" si="1"/>
        <v>25</v>
      </c>
    </row>
    <row r="25" spans="1:10">
      <c r="D25" s="161" t="s">
        <v>100</v>
      </c>
      <c r="E25" s="161"/>
      <c r="F25" s="161"/>
      <c r="G25" s="161"/>
      <c r="H25" s="161"/>
    </row>
    <row r="26" spans="1:10">
      <c r="D26" s="161"/>
      <c r="E26" s="161"/>
      <c r="F26" s="161"/>
      <c r="G26" s="161"/>
      <c r="H26" s="161"/>
    </row>
    <row r="27" spans="1:10">
      <c r="D27" s="161"/>
      <c r="E27" s="161"/>
      <c r="F27" s="161"/>
      <c r="G27" s="161"/>
      <c r="H27" s="161"/>
    </row>
    <row r="28" spans="1:10">
      <c r="D28" s="161"/>
      <c r="E28" s="161"/>
      <c r="F28" s="161"/>
      <c r="G28" s="161"/>
      <c r="H28" s="161"/>
    </row>
  </sheetData>
  <mergeCells count="3">
    <mergeCell ref="B2:H2"/>
    <mergeCell ref="B3:H3"/>
    <mergeCell ref="D25:H28"/>
  </mergeCells>
  <pageMargins left="0.70866141732283472" right="0.70866141732283472" top="0.74803149606299213" bottom="0.74803149606299213" header="0.31496062992125984" footer="0.31496062992125984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SEATING </vt:lpstr>
      <vt:lpstr>HALL ALLO</vt:lpstr>
      <vt:lpstr>NB</vt:lpstr>
      <vt:lpstr>aud seating</vt:lpstr>
      <vt:lpstr>Sheet1</vt:lpstr>
      <vt:lpstr>'aud seating'!Print_Area</vt:lpstr>
      <vt:lpstr>NB!Print_Area</vt:lpstr>
      <vt:lpstr>'SEATING 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User_PC</dc:creator>
  <cp:lastModifiedBy>user</cp:lastModifiedBy>
  <cp:lastPrinted>2025-11-19T04:49:42Z</cp:lastPrinted>
  <dcterms:created xsi:type="dcterms:W3CDTF">2015-10-29T23:05:48Z</dcterms:created>
  <dcterms:modified xsi:type="dcterms:W3CDTF">2025-11-19T04:49:44Z</dcterms:modified>
</cp:coreProperties>
</file>